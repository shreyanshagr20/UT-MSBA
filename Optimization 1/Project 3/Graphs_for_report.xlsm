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E:\01 MSBA UT\03 Fall\03 Optimization 1\Project\Project 3\Submission\"/>
    </mc:Choice>
  </mc:AlternateContent>
  <xr:revisionPtr revIDLastSave="0" documentId="13_ncr:1_{31B27D54-4C1E-47EF-96BA-1DDEDFA398DD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Test data (MIQP)" sheetId="1" r:id="rId1"/>
    <sheet name="Error Comparison" sheetId="6" r:id="rId2"/>
    <sheet name="Prediction Comparison" sheetId="5" r:id="rId3"/>
    <sheet name="Beta Value Comparison" sheetId="4" r:id="rId4"/>
    <sheet name="MIQP|Avg MSE vs k" sheetId="2" state="hidden" r:id="rId5"/>
  </sheets>
  <definedNames>
    <definedName name="_xlnm._FilterDatabase" localSheetId="3" hidden="1">'Beta Value Comparison'!$C$3:$E$54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4" l="1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BU16" i="4"/>
  <c r="BT16" i="4"/>
  <c r="BS16" i="4"/>
  <c r="BR16" i="4"/>
  <c r="BQ16" i="4"/>
  <c r="BP16" i="4"/>
  <c r="BO16" i="4"/>
  <c r="BN16" i="4"/>
  <c r="BM16" i="4"/>
  <c r="BL16" i="4"/>
  <c r="BK16" i="4"/>
  <c r="BJ16" i="4"/>
  <c r="BI16" i="4"/>
  <c r="BH16" i="4"/>
  <c r="BG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Q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B4" i="2" a="1"/>
  <c r="B4" i="2" s="1"/>
  <c r="C4" i="2" s="1"/>
  <c r="C6" i="2" l="1"/>
  <c r="C13" i="2"/>
  <c r="C12" i="2"/>
  <c r="C11" i="2"/>
  <c r="C10" i="2"/>
  <c r="C9" i="2"/>
  <c r="C8" i="2"/>
  <c r="C7" i="2"/>
  <c r="C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<sst xmlns="http://schemas.openxmlformats.org/spreadsheetml/2006/main" count="224" uniqueCount="115">
  <si>
    <t>k</t>
  </si>
  <si>
    <t>n_fold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</si>
  <si>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</si>
  <si>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</si>
  <si>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</si>
  <si>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</si>
  <si>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</si>
  <si>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</si>
  <si>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</si>
  <si>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</si>
  <si>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</si>
  <si>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</si>
  <si>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</si>
  <si>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</si>
  <si>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</si>
  <si>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</si>
  <si>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</si>
  <si>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</si>
  <si>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</si>
  <si>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</si>
  <si>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</si>
  <si>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</si>
  <si>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</si>
  <si>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</si>
  <si>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</si>
  <si>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</si>
  <si>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</si>
  <si>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</si>
  <si>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</si>
  <si>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</si>
  <si>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</si>
  <si>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</si>
  <si>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</si>
  <si>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</si>
  <si>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</si>
  <si>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</si>
  <si>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</si>
  <si>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</si>
  <si>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</si>
  <si>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</si>
  <si>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</si>
  <si>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X40</t>
  </si>
  <si>
    <t>X41</t>
  </si>
  <si>
    <t>X42</t>
  </si>
  <si>
    <t>X43</t>
  </si>
  <si>
    <t>X44</t>
  </si>
  <si>
    <t>X45</t>
  </si>
  <si>
    <t>X46</t>
  </si>
  <si>
    <t>X47</t>
  </si>
  <si>
    <t>X48</t>
  </si>
  <si>
    <t>X49</t>
  </si>
  <si>
    <t>X50</t>
  </si>
  <si>
    <t>X0</t>
  </si>
  <si>
    <t>mse</t>
  </si>
  <si>
    <t>Average MSE</t>
  </si>
  <si>
    <t>Since at k=10, we get the lowest value of Avg MSE, we will be using 10 features to train the model</t>
  </si>
  <si>
    <t>Beta Values</t>
  </si>
  <si>
    <t>LASSO</t>
  </si>
  <si>
    <t>MIQP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</si>
  <si>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</si>
  <si>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</si>
  <si>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</si>
  <si>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</si>
  <si>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</si>
  <si>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</si>
  <si>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</si>
  <si>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</si>
  <si>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</si>
  <si>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</si>
  <si>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Y11</t>
  </si>
  <si>
    <t>Y12</t>
  </si>
  <si>
    <t>Y13</t>
  </si>
  <si>
    <t>Y14</t>
  </si>
  <si>
    <t>Y15</t>
  </si>
  <si>
    <t>Y16</t>
  </si>
  <si>
    <t>Y17</t>
  </si>
  <si>
    <t>Y18</t>
  </si>
  <si>
    <t>Y19</t>
  </si>
  <si>
    <t>Y20</t>
  </si>
  <si>
    <t>Y21</t>
  </si>
  <si>
    <t>Y22</t>
  </si>
  <si>
    <t>Y23</t>
  </si>
  <si>
    <t>Y24</t>
  </si>
  <si>
    <t>Y25</t>
  </si>
  <si>
    <t>Y26</t>
  </si>
  <si>
    <t>Y27</t>
  </si>
  <si>
    <t>Y28</t>
  </si>
  <si>
    <t>Y29</t>
  </si>
  <si>
    <t>Y30</t>
  </si>
  <si>
    <t>Y31</t>
  </si>
  <si>
    <t>Y32</t>
  </si>
  <si>
    <t>Y33</t>
  </si>
  <si>
    <t>Y34</t>
  </si>
  <si>
    <t>Y35</t>
  </si>
  <si>
    <t>Y36</t>
  </si>
  <si>
    <t>Y37</t>
  </si>
  <si>
    <t>Y38</t>
  </si>
  <si>
    <t>Y39</t>
  </si>
  <si>
    <t>Y40</t>
  </si>
  <si>
    <t>Y41</t>
  </si>
  <si>
    <t>Y42</t>
  </si>
  <si>
    <t>Y43</t>
  </si>
  <si>
    <t>Y44</t>
  </si>
  <si>
    <t>Y45</t>
  </si>
  <si>
    <t>Y46</t>
  </si>
  <si>
    <t>Y47</t>
  </si>
  <si>
    <t>Y48</t>
  </si>
  <si>
    <t>Y49</t>
  </si>
  <si>
    <t>Y50</t>
  </si>
  <si>
    <t>Train MSE</t>
  </si>
  <si>
    <t>Test MSE</t>
  </si>
  <si>
    <t>Final Outputs for different values of k for MIQP</t>
  </si>
  <si>
    <t>Y_true</t>
  </si>
  <si>
    <t>Predicted values comparison MIQP vs LASSO and true value</t>
  </si>
  <si>
    <t>Intercept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</si>
</sst>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0000"/>
      <name val="Courier New"/>
      <family val="1"/>
    </font>
    <font>
      <sz val="8"/>
      <name val="Calibri"/>
      <family val="2"/>
      <scheme val="minor"/>
    </font>
    <font>
      <sz val="14"/>
      <color rgb="FF303F9F"/>
      <name val="Courier New"/>
      <family val="1"/>
    </font>
    <font>
      <b/>
      <i/>
      <sz val="14"/>
      <color rgb="FF595959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9">
    <xf numFmtId="0" fontId="0" fillId="0" borderId="0" xfId="0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0" xfId="0" applyFont="1" applyBorder="1"/>
    <xf numFmtId="0" fontId="0" fillId="0" borderId="10" xfId="0" applyBorder="1" applyAlignment="1">
      <alignment horizontal="center"/>
    </xf>
    <xf numFmtId="2" fontId="0" fillId="0" borderId="10" xfId="0" applyNumberFormat="1" applyBorder="1" applyAlignment="1">
      <alignment horizontal="center"/>
    </xf>
    <xf numFmtId="0" fontId="18" fillId="0" borderId="0" xfId="0" applyFont="1"/>
    <xf numFmtId="0" fontId="19" fillId="0" borderId="0" xfId="0" applyFont="1"/>
    <xf numFmtId="2" fontId="0" fillId="0" borderId="0" xfId="0" applyNumberFormat="1"/>
    <xf numFmtId="0" fontId="0" fillId="0" borderId="10" xfId="0" applyBorder="1"/>
    <xf numFmtId="0" fontId="16" fillId="33" borderId="10" xfId="0" applyFont="1" applyFill="1" applyBorder="1" applyAlignment="1">
      <alignment horizontal="center"/>
    </xf>
    <xf numFmtId="0" fontId="0" fillId="0" borderId="0" xfId="0" applyBorder="1"/>
    <xf numFmtId="164" fontId="0" fillId="0" borderId="10" xfId="0" applyNumberFormat="1" applyBorder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 vertical="center" readingOrder="1"/>
    </xf>
    <xf numFmtId="164" fontId="0" fillId="0" borderId="0" xfId="0" applyNumberFormat="1"/>
    <xf numFmtId="9" fontId="0" fillId="0" borderId="0" xfId="42" applyFont="1"/>
    <xf numFmtId="0" fontId="16" fillId="34" borderId="10" xfId="0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1"/>
              <a:t>MSE Comparison</a:t>
            </a:r>
            <a:r>
              <a:rPr lang="en-US" sz="1200" b="1" i="1" baseline="0"/>
              <a:t> MIQP vs LASSO</a:t>
            </a:r>
            <a:endParaRPr lang="en-US" sz="1200" b="1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'Error Comparison'!$C$3</c:f>
              <c:strCache>
                <c:ptCount val="1"/>
                <c:pt idx="0">
                  <c:v>MIQP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'Error Comparison'!$B$4:$B$5</c:f>
              <c:strCache>
                <c:ptCount val="2"/>
                <c:pt idx="0">
                  <c:v>Train MSE</c:v>
                </c:pt>
                <c:pt idx="1">
                  <c:v>Test MSE</c:v>
                </c:pt>
              </c:strCache>
            </c:strRef>
          </c:cat>
          <c:val>
            <c:numRef>
              <c:f>'Error Comparison'!$C$4:$C$5</c:f>
              <c:numCache>
                <c:formatCode>General</c:formatCode>
                <c:ptCount val="2"/>
                <c:pt idx="0">
                  <c:v>2.3919899999999998</c:v>
                </c:pt>
                <c:pt idx="1">
                  <c:v>2.3365399999999998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23-8145-9E71-1EC5E4E3550D}"/>
            </c:ext>
          </c:extLst>
        </c:ser>
        <c:ser>
          <c:idx val="1"/>
          <c:order val="1"/>
          <c:tx>
            <c:strRef>
              <c:f>'Error Comparison'!$D$3</c:f>
              <c:strCache>
                <c:ptCount val="1"/>
                <c:pt idx="0">
                  <c:v>LASSO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'Error Comparison'!$B$4:$B$5</c:f>
              <c:strCache>
                <c:ptCount val="2"/>
                <c:pt idx="0">
                  <c:v>Train MSE</c:v>
                </c:pt>
                <c:pt idx="1">
                  <c:v>Test MSE</c:v>
                </c:pt>
              </c:strCache>
            </c:strRef>
          </c:cat>
          <c:val>
            <c:numRef>
              <c:f>'Error Comparison'!$D$4:$D$5</c:f>
              <c:numCache>
                <c:formatCode>General</c:formatCode>
                <c:ptCount val="2"/>
                <c:pt idx="0">
                  <c:v>2.3864399999999999</c:v>
                </c:pt>
                <c:pt idx="1">
                  <c:v>2.3566699999999998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23-8145-9E71-1EC5E4E3550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73156015"/>
        <c:axId val="1973116975"/>
      </c:barChart>
      <c:catAx>
        <c:axId val="1973156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3116975"/>
        <c:crosses val="autoZero"/>
        <c:auto val="1"/>
        <c:lblAlgn val="ctr"/>
        <c:lblOffset val="100"/>
        <c:noMultiLvlLbl val="0"/>
      </c:catAx>
      <c:valAx>
        <c:axId val="197311697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731560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1"/>
              <a:t>Predicted values comparison MIQP vs LASSO and true value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'Prediction Comparison'!$C$2</c:f>
              <c:strCache>
                <c:ptCount val="1"/>
                <c:pt idx="0">
                  <c:v>MIQP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'Prediction Comparison'!$B$3:$B$52</c:f>
              <c:strCache>
                <c:ptCount val="50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  <c:pt idx="5">
                  <c:v>Y6</c:v>
                </c:pt>
                <c:pt idx="6">
                  <c:v>Y7</c:v>
                </c:pt>
                <c:pt idx="7">
                  <c:v>Y8</c:v>
                </c:pt>
                <c:pt idx="8">
                  <c:v>Y9</c:v>
                </c:pt>
                <c:pt idx="9">
                  <c:v>Y10</c:v>
                </c:pt>
                <c:pt idx="10">
                  <c:v>Y11</c:v>
                </c:pt>
                <c:pt idx="11">
                  <c:v>Y12</c:v>
                </c:pt>
                <c:pt idx="12">
                  <c:v>Y13</c:v>
                </c:pt>
                <c:pt idx="13">
                  <c:v>Y14</c:v>
                </c:pt>
                <c:pt idx="14">
                  <c:v>Y15</c:v>
                </c:pt>
                <c:pt idx="15">
                  <c:v>Y16</c:v>
                </c:pt>
                <c:pt idx="16">
                  <c:v>Y17</c:v>
                </c:pt>
                <c:pt idx="17">
                  <c:v>Y18</c:v>
                </c:pt>
                <c:pt idx="18">
                  <c:v>Y19</c:v>
                </c:pt>
                <c:pt idx="19">
                  <c:v>Y20</c:v>
                </c:pt>
                <c:pt idx="20">
                  <c:v>Y21</c:v>
                </c:pt>
                <c:pt idx="21">
                  <c:v>Y22</c:v>
                </c:pt>
                <c:pt idx="22">
                  <c:v>Y23</c:v>
                </c:pt>
                <c:pt idx="23">
                  <c:v>Y24</c:v>
                </c:pt>
                <c:pt idx="24">
                  <c:v>Y25</c:v>
                </c:pt>
                <c:pt idx="25">
                  <c:v>Y26</c:v>
                </c:pt>
                <c:pt idx="26">
                  <c:v>Y27</c:v>
                </c:pt>
                <c:pt idx="27">
                  <c:v>Y28</c:v>
                </c:pt>
                <c:pt idx="28">
                  <c:v>Y29</c:v>
                </c:pt>
                <c:pt idx="29">
                  <c:v>Y30</c:v>
                </c:pt>
                <c:pt idx="30">
                  <c:v>Y31</c:v>
                </c:pt>
                <c:pt idx="31">
                  <c:v>Y32</c:v>
                </c:pt>
                <c:pt idx="32">
                  <c:v>Y33</c:v>
                </c:pt>
                <c:pt idx="33">
                  <c:v>Y34</c:v>
                </c:pt>
                <c:pt idx="34">
                  <c:v>Y35</c:v>
                </c:pt>
                <c:pt idx="35">
                  <c:v>Y36</c:v>
                </c:pt>
                <c:pt idx="36">
                  <c:v>Y37</c:v>
                </c:pt>
                <c:pt idx="37">
                  <c:v>Y38</c:v>
                </c:pt>
                <c:pt idx="38">
                  <c:v>Y39</c:v>
                </c:pt>
                <c:pt idx="39">
                  <c:v>Y40</c:v>
                </c:pt>
                <c:pt idx="40">
                  <c:v>Y41</c:v>
                </c:pt>
                <c:pt idx="41">
                  <c:v>Y42</c:v>
                </c:pt>
                <c:pt idx="42">
                  <c:v>Y43</c:v>
                </c:pt>
                <c:pt idx="43">
                  <c:v>Y44</c:v>
                </c:pt>
                <c:pt idx="44">
                  <c:v>Y45</c:v>
                </c:pt>
                <c:pt idx="45">
                  <c:v>Y46</c:v>
                </c:pt>
                <c:pt idx="46">
                  <c:v>Y47</c:v>
                </c:pt>
                <c:pt idx="47">
                  <c:v>Y48</c:v>
                </c:pt>
                <c:pt idx="48">
                  <c:v>Y49</c:v>
                </c:pt>
                <c:pt idx="49">
                  <c:v>Y50</c:v>
                </c:pt>
              </c:strCache>
            </c:strRef>
          </c:cat>
          <c:val>
            <c:numRef>
              <c:f>'Prediction Comparison'!$C$3:$C$52</c:f>
              <c:numCache>
                <c:formatCode>0.0000</c:formatCode>
                <c:ptCount val="50"/>
                <c:pt idx="0">
                  <c:v>6.1798587814430501</c:v>
                </c:pt>
                <c:pt idx="1">
                  <c:v>5.0952429868404296</c:v>
                </c:pt>
                <c:pt idx="2">
                  <c:v>3.2855953224049999</c:v>
                </c:pt>
                <c:pt idx="3">
                  <c:v>3.7584853876612598</c:v>
                </c:pt>
                <c:pt idx="4">
                  <c:v>-0.33297525858275001</c:v>
                </c:pt>
                <c:pt idx="5">
                  <c:v>-5.14273683466834</c:v>
                </c:pt>
                <c:pt idx="6">
                  <c:v>-3.1445435672467599</c:v>
                </c:pt>
                <c:pt idx="7">
                  <c:v>-1.23806287581896</c:v>
                </c:pt>
                <c:pt idx="8">
                  <c:v>1.3851109276642899</c:v>
                </c:pt>
                <c:pt idx="9">
                  <c:v>-0.44173854478109398</c:v>
                </c:pt>
                <c:pt idx="10">
                  <c:v>-1.6950022467195101</c:v>
                </c:pt>
                <c:pt idx="11">
                  <c:v>2.7303502681827698</c:v>
                </c:pt>
                <c:pt idx="12">
                  <c:v>0.74744903447790501</c:v>
                </c:pt>
                <c:pt idx="13">
                  <c:v>-0.97192231772482096</c:v>
                </c:pt>
                <c:pt idx="14">
                  <c:v>-0.68681528242691003</c:v>
                </c:pt>
                <c:pt idx="15">
                  <c:v>8.0452238146072101</c:v>
                </c:pt>
                <c:pt idx="16">
                  <c:v>-7.9469847105420302</c:v>
                </c:pt>
                <c:pt idx="17">
                  <c:v>3.8906397391997798</c:v>
                </c:pt>
                <c:pt idx="18">
                  <c:v>-4.5814291889682401</c:v>
                </c:pt>
                <c:pt idx="19">
                  <c:v>-3.2199208247153899</c:v>
                </c:pt>
                <c:pt idx="20">
                  <c:v>-2.1621145380309499</c:v>
                </c:pt>
                <c:pt idx="21">
                  <c:v>3.2168631773246199</c:v>
                </c:pt>
                <c:pt idx="22">
                  <c:v>-3.1981053263742001</c:v>
                </c:pt>
                <c:pt idx="23">
                  <c:v>0.19740730625327699</c:v>
                </c:pt>
                <c:pt idx="24">
                  <c:v>-2.3598884438628298</c:v>
                </c:pt>
                <c:pt idx="25">
                  <c:v>-0.41999885474911303</c:v>
                </c:pt>
                <c:pt idx="26">
                  <c:v>-1.91252160273587</c:v>
                </c:pt>
                <c:pt idx="27">
                  <c:v>-3.3241858672808799</c:v>
                </c:pt>
                <c:pt idx="28">
                  <c:v>-3.1417097171886699</c:v>
                </c:pt>
                <c:pt idx="29">
                  <c:v>-3.55379323611047</c:v>
                </c:pt>
                <c:pt idx="30">
                  <c:v>-1.8084254250490901</c:v>
                </c:pt>
                <c:pt idx="31">
                  <c:v>-0.37134300556514399</c:v>
                </c:pt>
                <c:pt idx="32">
                  <c:v>1.8670808021748699</c:v>
                </c:pt>
                <c:pt idx="33">
                  <c:v>5.0492788628390697</c:v>
                </c:pt>
                <c:pt idx="34">
                  <c:v>-1.8000561410732601</c:v>
                </c:pt>
                <c:pt idx="35">
                  <c:v>3.09427674639957</c:v>
                </c:pt>
                <c:pt idx="36">
                  <c:v>4.3815430904322596</c:v>
                </c:pt>
                <c:pt idx="37">
                  <c:v>2.6988626993835201</c:v>
                </c:pt>
                <c:pt idx="38">
                  <c:v>1.61328859754475</c:v>
                </c:pt>
                <c:pt idx="39">
                  <c:v>5.9758463724242903</c:v>
                </c:pt>
                <c:pt idx="40">
                  <c:v>-1.1973582998105701</c:v>
                </c:pt>
                <c:pt idx="41">
                  <c:v>5.2232541980552698</c:v>
                </c:pt>
                <c:pt idx="42">
                  <c:v>-5.8489989084902803</c:v>
                </c:pt>
                <c:pt idx="43">
                  <c:v>-1.14461527900551</c:v>
                </c:pt>
                <c:pt idx="44">
                  <c:v>4.5180299753456001</c:v>
                </c:pt>
                <c:pt idx="45">
                  <c:v>4.1877486556031398</c:v>
                </c:pt>
                <c:pt idx="46">
                  <c:v>4.1204600830219302</c:v>
                </c:pt>
                <c:pt idx="47">
                  <c:v>0.61483808860050604</c:v>
                </c:pt>
                <c:pt idx="48">
                  <c:v>1.9572324582774101</c:v>
                </c:pt>
                <c:pt idx="49">
                  <c:v>-1.5490438298035001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B8-4E8E-AD94-5752EAC7D4A4}"/>
            </c:ext>
          </c:extLst>
        </c:ser>
        <c:ser>
          <c:idx val="1"/>
          <c:order val="1"/>
          <c:tx>
            <c:strRef>
              <c:f>'Prediction Comparison'!$D$2</c:f>
              <c:strCache>
                <c:ptCount val="1"/>
                <c:pt idx="0">
                  <c:v>LASSO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'Prediction Comparison'!$B$3:$B$52</c:f>
              <c:strCache>
                <c:ptCount val="50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  <c:pt idx="5">
                  <c:v>Y6</c:v>
                </c:pt>
                <c:pt idx="6">
                  <c:v>Y7</c:v>
                </c:pt>
                <c:pt idx="7">
                  <c:v>Y8</c:v>
                </c:pt>
                <c:pt idx="8">
                  <c:v>Y9</c:v>
                </c:pt>
                <c:pt idx="9">
                  <c:v>Y10</c:v>
                </c:pt>
                <c:pt idx="10">
                  <c:v>Y11</c:v>
                </c:pt>
                <c:pt idx="11">
                  <c:v>Y12</c:v>
                </c:pt>
                <c:pt idx="12">
                  <c:v>Y13</c:v>
                </c:pt>
                <c:pt idx="13">
                  <c:v>Y14</c:v>
                </c:pt>
                <c:pt idx="14">
                  <c:v>Y15</c:v>
                </c:pt>
                <c:pt idx="15">
                  <c:v>Y16</c:v>
                </c:pt>
                <c:pt idx="16">
                  <c:v>Y17</c:v>
                </c:pt>
                <c:pt idx="17">
                  <c:v>Y18</c:v>
                </c:pt>
                <c:pt idx="18">
                  <c:v>Y19</c:v>
                </c:pt>
                <c:pt idx="19">
                  <c:v>Y20</c:v>
                </c:pt>
                <c:pt idx="20">
                  <c:v>Y21</c:v>
                </c:pt>
                <c:pt idx="21">
                  <c:v>Y22</c:v>
                </c:pt>
                <c:pt idx="22">
                  <c:v>Y23</c:v>
                </c:pt>
                <c:pt idx="23">
                  <c:v>Y24</c:v>
                </c:pt>
                <c:pt idx="24">
                  <c:v>Y25</c:v>
                </c:pt>
                <c:pt idx="25">
                  <c:v>Y26</c:v>
                </c:pt>
                <c:pt idx="26">
                  <c:v>Y27</c:v>
                </c:pt>
                <c:pt idx="27">
                  <c:v>Y28</c:v>
                </c:pt>
                <c:pt idx="28">
                  <c:v>Y29</c:v>
                </c:pt>
                <c:pt idx="29">
                  <c:v>Y30</c:v>
                </c:pt>
                <c:pt idx="30">
                  <c:v>Y31</c:v>
                </c:pt>
                <c:pt idx="31">
                  <c:v>Y32</c:v>
                </c:pt>
                <c:pt idx="32">
                  <c:v>Y33</c:v>
                </c:pt>
                <c:pt idx="33">
                  <c:v>Y34</c:v>
                </c:pt>
                <c:pt idx="34">
                  <c:v>Y35</c:v>
                </c:pt>
                <c:pt idx="35">
                  <c:v>Y36</c:v>
                </c:pt>
                <c:pt idx="36">
                  <c:v>Y37</c:v>
                </c:pt>
                <c:pt idx="37">
                  <c:v>Y38</c:v>
                </c:pt>
                <c:pt idx="38">
                  <c:v>Y39</c:v>
                </c:pt>
                <c:pt idx="39">
                  <c:v>Y40</c:v>
                </c:pt>
                <c:pt idx="40">
                  <c:v>Y41</c:v>
                </c:pt>
                <c:pt idx="41">
                  <c:v>Y42</c:v>
                </c:pt>
                <c:pt idx="42">
                  <c:v>Y43</c:v>
                </c:pt>
                <c:pt idx="43">
                  <c:v>Y44</c:v>
                </c:pt>
                <c:pt idx="44">
                  <c:v>Y45</c:v>
                </c:pt>
                <c:pt idx="45">
                  <c:v>Y46</c:v>
                </c:pt>
                <c:pt idx="46">
                  <c:v>Y47</c:v>
                </c:pt>
                <c:pt idx="47">
                  <c:v>Y48</c:v>
                </c:pt>
                <c:pt idx="48">
                  <c:v>Y49</c:v>
                </c:pt>
                <c:pt idx="49">
                  <c:v>Y50</c:v>
                </c:pt>
              </c:strCache>
            </c:strRef>
          </c:cat>
          <c:val>
            <c:numRef>
              <c:f>'Prediction Comparison'!$D$3:$D$52</c:f>
              <c:numCache>
                <c:formatCode>0.0000</c:formatCode>
                <c:ptCount val="50"/>
                <c:pt idx="0">
                  <c:v>6.0545212238567903</c:v>
                </c:pt>
                <c:pt idx="1">
                  <c:v>4.8706553265002102</c:v>
                </c:pt>
                <c:pt idx="2">
                  <c:v>3.2026542716489499</c:v>
                </c:pt>
                <c:pt idx="3">
                  <c:v>3.5448534651235701</c:v>
                </c:pt>
                <c:pt idx="4">
                  <c:v>-0.464032027877405</c:v>
                </c:pt>
                <c:pt idx="5">
                  <c:v>-4.8933680577642802</c:v>
                </c:pt>
                <c:pt idx="6">
                  <c:v>-2.80139967046187</c:v>
                </c:pt>
                <c:pt idx="7">
                  <c:v>-1.4641505718258001</c:v>
                </c:pt>
                <c:pt idx="8">
                  <c:v>1.38618059009249</c:v>
                </c:pt>
                <c:pt idx="9">
                  <c:v>-0.17687139892249601</c:v>
                </c:pt>
                <c:pt idx="10">
                  <c:v>-1.9549069843421101</c:v>
                </c:pt>
                <c:pt idx="11">
                  <c:v>2.7024455867284898</c:v>
                </c:pt>
                <c:pt idx="12">
                  <c:v>0.63453481409994095</c:v>
                </c:pt>
                <c:pt idx="13">
                  <c:v>-0.450587742926843</c:v>
                </c:pt>
                <c:pt idx="14">
                  <c:v>-0.242040972441496</c:v>
                </c:pt>
                <c:pt idx="15">
                  <c:v>7.3067318107264896</c:v>
                </c:pt>
                <c:pt idx="16">
                  <c:v>-7.4771655442524096</c:v>
                </c:pt>
                <c:pt idx="17">
                  <c:v>3.5768977305512601</c:v>
                </c:pt>
                <c:pt idx="18">
                  <c:v>-4.3467638936779602</c:v>
                </c:pt>
                <c:pt idx="19">
                  <c:v>-2.9585123343674198</c:v>
                </c:pt>
                <c:pt idx="20">
                  <c:v>-1.8917187193331899</c:v>
                </c:pt>
                <c:pt idx="21">
                  <c:v>3.32124431407237</c:v>
                </c:pt>
                <c:pt idx="22">
                  <c:v>-2.36824607491141</c:v>
                </c:pt>
                <c:pt idx="23">
                  <c:v>1.16880210707794</c:v>
                </c:pt>
                <c:pt idx="24">
                  <c:v>-2.48381762182045</c:v>
                </c:pt>
                <c:pt idx="25">
                  <c:v>-0.20219170863920799</c:v>
                </c:pt>
                <c:pt idx="26">
                  <c:v>-1.5263683876660901</c:v>
                </c:pt>
                <c:pt idx="27">
                  <c:v>-2.25381378590895</c:v>
                </c:pt>
                <c:pt idx="28">
                  <c:v>-3.4816287174631699</c:v>
                </c:pt>
                <c:pt idx="29">
                  <c:v>-3.6591580052521802</c:v>
                </c:pt>
                <c:pt idx="30">
                  <c:v>-1.6571299614864301</c:v>
                </c:pt>
                <c:pt idx="31">
                  <c:v>3.2394552144602497E-2</c:v>
                </c:pt>
                <c:pt idx="32">
                  <c:v>1.4244963830792201</c:v>
                </c:pt>
                <c:pt idx="33">
                  <c:v>5.4919473619071804</c:v>
                </c:pt>
                <c:pt idx="34">
                  <c:v>-1.17541686142978</c:v>
                </c:pt>
                <c:pt idx="35">
                  <c:v>2.3217607350659599</c:v>
                </c:pt>
                <c:pt idx="36">
                  <c:v>4.7350701270054198</c:v>
                </c:pt>
                <c:pt idx="37">
                  <c:v>3.18259541393738</c:v>
                </c:pt>
                <c:pt idx="38">
                  <c:v>1.5678597407719099</c:v>
                </c:pt>
                <c:pt idx="39">
                  <c:v>5.8382514918257602</c:v>
                </c:pt>
                <c:pt idx="40">
                  <c:v>-0.83581996414126603</c:v>
                </c:pt>
                <c:pt idx="41">
                  <c:v>4.6459911124698099</c:v>
                </c:pt>
                <c:pt idx="42">
                  <c:v>-5.6650641284068204</c:v>
                </c:pt>
                <c:pt idx="43">
                  <c:v>-1.17860626493611</c:v>
                </c:pt>
                <c:pt idx="44">
                  <c:v>4.1946715382865403</c:v>
                </c:pt>
                <c:pt idx="45">
                  <c:v>4.1043577485739604</c:v>
                </c:pt>
                <c:pt idx="46">
                  <c:v>3.8137937856019501</c:v>
                </c:pt>
                <c:pt idx="47">
                  <c:v>0.63717902297279905</c:v>
                </c:pt>
                <c:pt idx="48">
                  <c:v>1.86269445339315</c:v>
                </c:pt>
                <c:pt idx="49">
                  <c:v>-0.98120393158288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B8-4E8E-AD94-5752EAC7D4A4}"/>
            </c:ext>
          </c:extLst>
        </c:ser>
        <c:ser>
          <c:idx val="2"/>
          <c:order val="2"/>
          <c:tx>
            <c:strRef>
              <c:f>'Prediction Comparison'!$E$2</c:f>
              <c:strCache>
                <c:ptCount val="1"/>
                <c:pt idx="0">
                  <c:v>Y_true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'Prediction Comparison'!$B$3:$B$52</c:f>
              <c:strCache>
                <c:ptCount val="50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  <c:pt idx="5">
                  <c:v>Y6</c:v>
                </c:pt>
                <c:pt idx="6">
                  <c:v>Y7</c:v>
                </c:pt>
                <c:pt idx="7">
                  <c:v>Y8</c:v>
                </c:pt>
                <c:pt idx="8">
                  <c:v>Y9</c:v>
                </c:pt>
                <c:pt idx="9">
                  <c:v>Y10</c:v>
                </c:pt>
                <c:pt idx="10">
                  <c:v>Y11</c:v>
                </c:pt>
                <c:pt idx="11">
                  <c:v>Y12</c:v>
                </c:pt>
                <c:pt idx="12">
                  <c:v>Y13</c:v>
                </c:pt>
                <c:pt idx="13">
                  <c:v>Y14</c:v>
                </c:pt>
                <c:pt idx="14">
                  <c:v>Y15</c:v>
                </c:pt>
                <c:pt idx="15">
                  <c:v>Y16</c:v>
                </c:pt>
                <c:pt idx="16">
                  <c:v>Y17</c:v>
                </c:pt>
                <c:pt idx="17">
                  <c:v>Y18</c:v>
                </c:pt>
                <c:pt idx="18">
                  <c:v>Y19</c:v>
                </c:pt>
                <c:pt idx="19">
                  <c:v>Y20</c:v>
                </c:pt>
                <c:pt idx="20">
                  <c:v>Y21</c:v>
                </c:pt>
                <c:pt idx="21">
                  <c:v>Y22</c:v>
                </c:pt>
                <c:pt idx="22">
                  <c:v>Y23</c:v>
                </c:pt>
                <c:pt idx="23">
                  <c:v>Y24</c:v>
                </c:pt>
                <c:pt idx="24">
                  <c:v>Y25</c:v>
                </c:pt>
                <c:pt idx="25">
                  <c:v>Y26</c:v>
                </c:pt>
                <c:pt idx="26">
                  <c:v>Y27</c:v>
                </c:pt>
                <c:pt idx="27">
                  <c:v>Y28</c:v>
                </c:pt>
                <c:pt idx="28">
                  <c:v>Y29</c:v>
                </c:pt>
                <c:pt idx="29">
                  <c:v>Y30</c:v>
                </c:pt>
                <c:pt idx="30">
                  <c:v>Y31</c:v>
                </c:pt>
                <c:pt idx="31">
                  <c:v>Y32</c:v>
                </c:pt>
                <c:pt idx="32">
                  <c:v>Y33</c:v>
                </c:pt>
                <c:pt idx="33">
                  <c:v>Y34</c:v>
                </c:pt>
                <c:pt idx="34">
                  <c:v>Y35</c:v>
                </c:pt>
                <c:pt idx="35">
                  <c:v>Y36</c:v>
                </c:pt>
                <c:pt idx="36">
                  <c:v>Y37</c:v>
                </c:pt>
                <c:pt idx="37">
                  <c:v>Y38</c:v>
                </c:pt>
                <c:pt idx="38">
                  <c:v>Y39</c:v>
                </c:pt>
                <c:pt idx="39">
                  <c:v>Y40</c:v>
                </c:pt>
                <c:pt idx="40">
                  <c:v>Y41</c:v>
                </c:pt>
                <c:pt idx="41">
                  <c:v>Y42</c:v>
                </c:pt>
                <c:pt idx="42">
                  <c:v>Y43</c:v>
                </c:pt>
                <c:pt idx="43">
                  <c:v>Y44</c:v>
                </c:pt>
                <c:pt idx="44">
                  <c:v>Y45</c:v>
                </c:pt>
                <c:pt idx="45">
                  <c:v>Y46</c:v>
                </c:pt>
                <c:pt idx="46">
                  <c:v>Y47</c:v>
                </c:pt>
                <c:pt idx="47">
                  <c:v>Y48</c:v>
                </c:pt>
                <c:pt idx="48">
                  <c:v>Y49</c:v>
                </c:pt>
                <c:pt idx="49">
                  <c:v>Y50</c:v>
                </c:pt>
              </c:strCache>
            </c:strRef>
          </c:cat>
          <c:val>
            <c:numRef>
              <c:f>'Prediction Comparison'!$E$3:$E$52</c:f>
              <c:numCache>
                <c:formatCode>0.0000</c:formatCode>
                <c:ptCount val="50"/>
                <c:pt idx="0">
                  <c:v>7.1079485904978501</c:v>
                </c:pt>
                <c:pt idx="1">
                  <c:v>5.79627164937793</c:v>
                </c:pt>
                <c:pt idx="2">
                  <c:v>1.5986514331056201</c:v>
                </c:pt>
                <c:pt idx="3">
                  <c:v>2.5329526184746798</c:v>
                </c:pt>
                <c:pt idx="4">
                  <c:v>0.59068457687993703</c:v>
                </c:pt>
                <c:pt idx="5">
                  <c:v>-6.1088180486036796</c:v>
                </c:pt>
                <c:pt idx="6">
                  <c:v>-1.9930208642418901</c:v>
                </c:pt>
                <c:pt idx="7">
                  <c:v>-1.9829036362505399</c:v>
                </c:pt>
                <c:pt idx="8">
                  <c:v>0.13403418714542301</c:v>
                </c:pt>
                <c:pt idx="9">
                  <c:v>-0.72869044156427298</c:v>
                </c:pt>
                <c:pt idx="10">
                  <c:v>-1.7661059638804799</c:v>
                </c:pt>
                <c:pt idx="11">
                  <c:v>1.2629138843805701</c:v>
                </c:pt>
                <c:pt idx="12">
                  <c:v>0.43125374978595099</c:v>
                </c:pt>
                <c:pt idx="13">
                  <c:v>-0.224368692022858</c:v>
                </c:pt>
                <c:pt idx="14">
                  <c:v>-1.19684905351168</c:v>
                </c:pt>
                <c:pt idx="15">
                  <c:v>6.9722817347839596</c:v>
                </c:pt>
                <c:pt idx="16">
                  <c:v>-10.1655431175787</c:v>
                </c:pt>
                <c:pt idx="17">
                  <c:v>3.8383828570921401</c:v>
                </c:pt>
                <c:pt idx="18">
                  <c:v>-2.3758813275168502</c:v>
                </c:pt>
                <c:pt idx="19">
                  <c:v>-1.63008705347222</c:v>
                </c:pt>
                <c:pt idx="20">
                  <c:v>-2.0716209690177698</c:v>
                </c:pt>
                <c:pt idx="21">
                  <c:v>4.4272303968284703</c:v>
                </c:pt>
                <c:pt idx="22">
                  <c:v>-2.70441702759685</c:v>
                </c:pt>
                <c:pt idx="23">
                  <c:v>3.3640789191809799</c:v>
                </c:pt>
                <c:pt idx="24">
                  <c:v>-1.4982847431944799</c:v>
                </c:pt>
                <c:pt idx="25">
                  <c:v>-1.71598716715392</c:v>
                </c:pt>
                <c:pt idx="26">
                  <c:v>1.57284520323245</c:v>
                </c:pt>
                <c:pt idx="27">
                  <c:v>-3.9065026330188601</c:v>
                </c:pt>
                <c:pt idx="28">
                  <c:v>-2.9831593165282602</c:v>
                </c:pt>
                <c:pt idx="29">
                  <c:v>-5.4013016865289796</c:v>
                </c:pt>
                <c:pt idx="30">
                  <c:v>-2.96151607050425</c:v>
                </c:pt>
                <c:pt idx="31">
                  <c:v>0.48699900328011297</c:v>
                </c:pt>
                <c:pt idx="32">
                  <c:v>4.5739159356433499</c:v>
                </c:pt>
                <c:pt idx="33">
                  <c:v>7.0770530741950397</c:v>
                </c:pt>
                <c:pt idx="34">
                  <c:v>-2.6397805325946999</c:v>
                </c:pt>
                <c:pt idx="35">
                  <c:v>4.5693256594357203</c:v>
                </c:pt>
                <c:pt idx="36">
                  <c:v>6.4570966387046296</c:v>
                </c:pt>
                <c:pt idx="37">
                  <c:v>2.8062150314663401</c:v>
                </c:pt>
                <c:pt idx="38">
                  <c:v>-0.31367561036219499</c:v>
                </c:pt>
                <c:pt idx="39">
                  <c:v>8.9699618687725202</c:v>
                </c:pt>
                <c:pt idx="40">
                  <c:v>0.302104386367406</c:v>
                </c:pt>
                <c:pt idx="41">
                  <c:v>5.0469564371848099</c:v>
                </c:pt>
                <c:pt idx="42">
                  <c:v>-8.1250099343779993</c:v>
                </c:pt>
                <c:pt idx="43">
                  <c:v>-1.4126753928378</c:v>
                </c:pt>
                <c:pt idx="44">
                  <c:v>2.8623371500726802</c:v>
                </c:pt>
                <c:pt idx="45">
                  <c:v>5.2644866071311496</c:v>
                </c:pt>
                <c:pt idx="46">
                  <c:v>6.0982912256297297</c:v>
                </c:pt>
                <c:pt idx="47">
                  <c:v>2.8913277153127601</c:v>
                </c:pt>
                <c:pt idx="48">
                  <c:v>4.4010258192162401E-2</c:v>
                </c:pt>
                <c:pt idx="49">
                  <c:v>-2.8156458150013699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B8-4E8E-AD94-5752EAC7D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9320384"/>
        <c:axId val="2139327872"/>
      </c:lineChart>
      <c:catAx>
        <c:axId val="21393203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39327872"/>
        <c:crosses val="autoZero"/>
        <c:auto val="1"/>
        <c:lblAlgn val="ctr"/>
        <c:lblOffset val="100"/>
        <c:noMultiLvlLbl val="0"/>
      </c:catAx>
      <c:valAx>
        <c:axId val="2139327872"/>
        <c:scaling>
          <c:orientation val="minMax"/>
        </c:scaling>
        <c:delete val="0"/>
        <c:axPos val="l"/>
        <c:numFmt formatCode="0.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320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Beta Values</a:t>
            </a:r>
            <a:r>
              <a:rPr lang="en-US" b="1" baseline="0"/>
              <a:t> Comparsion MIQP vs LASSO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'Beta Value Comparison'!$C$3</c:f>
              <c:strCache>
                <c:ptCount val="1"/>
                <c:pt idx="0">
                  <c:v>MIQP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'Beta Value Comparison'!$B$4:$B$54</c:f>
              <c:strCache>
                <c:ptCount val="19"/>
                <c:pt idx="0">
                  <c:v>Intercept</c:v>
                </c:pt>
                <c:pt idx="1">
                  <c:v>X9</c:v>
                </c:pt>
                <c:pt idx="2">
                  <c:v>X11</c:v>
                </c:pt>
                <c:pt idx="3">
                  <c:v>X15</c:v>
                </c:pt>
                <c:pt idx="4">
                  <c:v>X16</c:v>
                </c:pt>
                <c:pt idx="5">
                  <c:v>X22</c:v>
                </c:pt>
                <c:pt idx="6">
                  <c:v>X23</c:v>
                </c:pt>
                <c:pt idx="7">
                  <c:v>X24</c:v>
                </c:pt>
                <c:pt idx="8">
                  <c:v>X26</c:v>
                </c:pt>
                <c:pt idx="9">
                  <c:v>X29</c:v>
                </c:pt>
                <c:pt idx="10">
                  <c:v>X33</c:v>
                </c:pt>
                <c:pt idx="11">
                  <c:v>X34</c:v>
                </c:pt>
                <c:pt idx="12">
                  <c:v>X35</c:v>
                </c:pt>
                <c:pt idx="13">
                  <c:v>X39</c:v>
                </c:pt>
                <c:pt idx="14">
                  <c:v>X44</c:v>
                </c:pt>
                <c:pt idx="15">
                  <c:v>X45</c:v>
                </c:pt>
                <c:pt idx="16">
                  <c:v>X46</c:v>
                </c:pt>
                <c:pt idx="17">
                  <c:v>X47</c:v>
                </c:pt>
                <c:pt idx="18">
                  <c:v>X48</c:v>
                </c:pt>
              </c:strCache>
            </c:strRef>
          </c:cat>
          <c:val>
            <c:numRef>
              <c:f>'Beta Value Comparison'!$C$4:$C$54</c:f>
              <c:numCache>
                <c:formatCode>0.0000</c:formatCode>
                <c:ptCount val="19"/>
                <c:pt idx="0">
                  <c:v>0.97252407655148498</c:v>
                </c:pt>
                <c:pt idx="1">
                  <c:v>-2.3082072619383398</c:v>
                </c:pt>
                <c:pt idx="2">
                  <c:v>0</c:v>
                </c:pt>
                <c:pt idx="3">
                  <c:v>-0.518326123365206</c:v>
                </c:pt>
                <c:pt idx="4">
                  <c:v>-0.204162013466544</c:v>
                </c:pt>
                <c:pt idx="5">
                  <c:v>0</c:v>
                </c:pt>
                <c:pt idx="6">
                  <c:v>-1.5591431785888501</c:v>
                </c:pt>
                <c:pt idx="7">
                  <c:v>0.86697336289245097</c:v>
                </c:pt>
                <c:pt idx="8">
                  <c:v>-1.3119194151226801</c:v>
                </c:pt>
                <c:pt idx="9">
                  <c:v>0</c:v>
                </c:pt>
                <c:pt idx="10">
                  <c:v>0</c:v>
                </c:pt>
                <c:pt idx="11">
                  <c:v>0.40816530330588202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1.7814748910764699</c:v>
                </c:pt>
                <c:pt idx="16">
                  <c:v>0</c:v>
                </c:pt>
                <c:pt idx="17">
                  <c:v>0.88738292401255103</c:v>
                </c:pt>
                <c:pt idx="18">
                  <c:v>-0.28229212764206002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7-F446-8402-107055469124}"/>
            </c:ext>
          </c:extLst>
        </c:ser>
        <c:ser>
          <c:idx val="1"/>
          <c:order val="1"/>
          <c:tx>
            <c:strRef>
              <c:f>'Beta Value Comparison'!$D$3</c:f>
              <c:strCache>
                <c:ptCount val="1"/>
                <c:pt idx="0">
                  <c:v>LASSO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'Beta Value Comparison'!$B$4:$B$54</c:f>
              <c:strCache>
                <c:ptCount val="19"/>
                <c:pt idx="0">
                  <c:v>Intercept</c:v>
                </c:pt>
                <c:pt idx="1">
                  <c:v>X9</c:v>
                </c:pt>
                <c:pt idx="2">
                  <c:v>X11</c:v>
                </c:pt>
                <c:pt idx="3">
                  <c:v>X15</c:v>
                </c:pt>
                <c:pt idx="4">
                  <c:v>X16</c:v>
                </c:pt>
                <c:pt idx="5">
                  <c:v>X22</c:v>
                </c:pt>
                <c:pt idx="6">
                  <c:v>X23</c:v>
                </c:pt>
                <c:pt idx="7">
                  <c:v>X24</c:v>
                </c:pt>
                <c:pt idx="8">
                  <c:v>X26</c:v>
                </c:pt>
                <c:pt idx="9">
                  <c:v>X29</c:v>
                </c:pt>
                <c:pt idx="10">
                  <c:v>X33</c:v>
                </c:pt>
                <c:pt idx="11">
                  <c:v>X34</c:v>
                </c:pt>
                <c:pt idx="12">
                  <c:v>X35</c:v>
                </c:pt>
                <c:pt idx="13">
                  <c:v>X39</c:v>
                </c:pt>
                <c:pt idx="14">
                  <c:v>X44</c:v>
                </c:pt>
                <c:pt idx="15">
                  <c:v>X45</c:v>
                </c:pt>
                <c:pt idx="16">
                  <c:v>X46</c:v>
                </c:pt>
                <c:pt idx="17">
                  <c:v>X47</c:v>
                </c:pt>
                <c:pt idx="18">
                  <c:v>X48</c:v>
                </c:pt>
              </c:strCache>
            </c:strRef>
          </c:cat>
          <c:val>
            <c:numRef>
              <c:f>'Beta Value Comparison'!$D$4:$D$54</c:f>
              <c:numCache>
                <c:formatCode>0.0000</c:formatCode>
                <c:ptCount val="19"/>
                <c:pt idx="0">
                  <c:v>1.27623248621841</c:v>
                </c:pt>
                <c:pt idx="1">
                  <c:v>-2.7198268510747599</c:v>
                </c:pt>
                <c:pt idx="2">
                  <c:v>-5.7453342667878299E-2</c:v>
                </c:pt>
                <c:pt idx="3">
                  <c:v>-0.39585532978301302</c:v>
                </c:pt>
                <c:pt idx="4">
                  <c:v>-0.23276644499833701</c:v>
                </c:pt>
                <c:pt idx="5">
                  <c:v>-0.22180364597657301</c:v>
                </c:pt>
                <c:pt idx="6">
                  <c:v>-1.1584795217671799</c:v>
                </c:pt>
                <c:pt idx="7">
                  <c:v>0.77569425067340103</c:v>
                </c:pt>
                <c:pt idx="8">
                  <c:v>-1.2795013327571101</c:v>
                </c:pt>
                <c:pt idx="9">
                  <c:v>6.5303321944147397E-2</c:v>
                </c:pt>
                <c:pt idx="10">
                  <c:v>-0.108472158385669</c:v>
                </c:pt>
                <c:pt idx="11">
                  <c:v>0.25740072285528398</c:v>
                </c:pt>
                <c:pt idx="12">
                  <c:v>1.27773117076713E-2</c:v>
                </c:pt>
                <c:pt idx="13">
                  <c:v>-0.18839793215265799</c:v>
                </c:pt>
                <c:pt idx="14">
                  <c:v>1.8689101855814301E-2</c:v>
                </c:pt>
                <c:pt idx="15">
                  <c:v>1.6319635116911499</c:v>
                </c:pt>
                <c:pt idx="16">
                  <c:v>-1.8389654814870499E-2</c:v>
                </c:pt>
                <c:pt idx="17">
                  <c:v>0.69384574192849002</c:v>
                </c:pt>
                <c:pt idx="18">
                  <c:v>-8.4735140216739294E-2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7-F446-8402-107055469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5624671"/>
        <c:axId val="1561599775"/>
      </c:barChart>
      <c:catAx>
        <c:axId val="455624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1599775"/>
        <c:crosses val="autoZero"/>
        <c:auto val="1"/>
        <c:lblAlgn val="ctr"/>
        <c:lblOffset val="100"/>
        <c:noMultiLvlLbl val="0"/>
      </c:catAx>
      <c:valAx>
        <c:axId val="1561599775"/>
        <c:scaling>
          <c:orientation val="minMax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624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Average MSE vs</a:t>
            </a:r>
            <a:r>
              <a:rPr lang="en-US" b="1" baseline="0"/>
              <a:t> k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'MIQP|Avg MSE vs k'!$C$3</c:f>
              <c:strCache>
                <c:ptCount val="1"/>
                <c:pt idx="0">
                  <c:v>Average MSE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'MIQP|Avg MSE vs k'!$B$4:$B$13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xVal>
          <c:yVal>
            <c:numRef>
              <c:f>'MIQP|Avg MSE vs k'!$C$4:$C$13</c:f>
              <c:numCache>
                <c:formatCode>0.00</c:formatCode>
                <c:ptCount val="10"/>
                <c:pt idx="0">
                  <c:v>182.83648224089097</c:v>
                </c:pt>
                <c:pt idx="1">
                  <c:v>150.81018357919959</c:v>
                </c:pt>
                <c:pt idx="2">
                  <c:v>366.55435381367244</c:v>
                </c:pt>
                <c:pt idx="3">
                  <c:v>413.3938231658102</c:v>
                </c:pt>
                <c:pt idx="4">
                  <c:v>648.67093815708529</c:v>
                </c:pt>
                <c:pt idx="5">
                  <c:v>648.5318833154671</c:v>
                </c:pt>
                <c:pt idx="6">
                  <c:v>941.99772298047287</c:v>
                </c:pt>
                <c:pt idx="7">
                  <c:v>1414.7604487843739</c:v>
                </c:pt>
                <c:pt idx="8">
                  <c:v>1754.8926091835322</c:v>
                </c:pt>
                <c:pt idx="9">
                  <c:v>623.24115028191591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1A-6C44-A30C-716C0A0A1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4720751"/>
        <c:axId val="1565336319"/>
      </c:scatterChart>
      <c:valAx>
        <c:axId val="1564720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5336319"/>
        <c:crosses val="autoZero"/>
        <c:crossBetween val="midCat"/>
      </c:valAx>
      <c:valAx>
        <c:axId val="1565336319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4720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273050</xdr:colOff>
      <xdr:row>2</xdr:row>
      <xdr:rowOff>50800</xdr:rowOff>
    </xdr:from>
    <xdr:to>
      <xdr:col>12</xdr:col>
      <xdr:colOff>508000</xdr:colOff>
      <xdr:row>16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1542C3-84D9-9D8A-358B-18276836BE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476250</xdr:colOff>
      <xdr:row>2</xdr:row>
      <xdr:rowOff>47625</xdr:rowOff>
    </xdr:from>
    <xdr:to>
      <xdr:col>16</xdr:col>
      <xdr:colOff>152400</xdr:colOff>
      <xdr:row>22</xdr:row>
      <xdr:rowOff>85724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3B5EE96-1648-4448-904D-8BBFEE112F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438150</xdr:colOff>
      <xdr:row>3</xdr:row>
      <xdr:rowOff>50800</xdr:rowOff>
    </xdr:from>
    <xdr:to>
      <xdr:col>17</xdr:col>
      <xdr:colOff>241300</xdr:colOff>
      <xdr:row>58</xdr:row>
      <xdr:rowOff>25400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535E701-490A-7E6C-7421-68FDCB0925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2</xdr:row>
      <xdr:rowOff>25400</xdr:rowOff>
    </xdr:from>
    <xdr:to>
      <xdr:col>11</xdr:col>
      <xdr:colOff>82550</xdr:colOff>
      <xdr:row>16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F72C7ED-B282-E120-92A9-6587DE5E43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BC104"/>
  <sheetViews>
    <sheetView showGridLines="0" workbookViewId="0"/>
  </sheetViews>
  <sheetFormatPr defaultColWidth="8.85546875" defaultRowHeight="15" x14ac:dyDescent="0.25"/>
  <cols>
    <col min="1" max="1" width="4.140625" customWidth="1"/>
  </cols>
  <sheetData>
    <row r="2" spans="2:55" ht="15.75" x14ac:dyDescent="0.25">
      <c r="B2" s="7" t="s">
        <v>111</v>
      </c>
    </row>
    <row r="4" spans="2:55" x14ac:dyDescent="0.25">
      <c r="B4" s="5" t="s">
        <v>0</v>
      </c>
      <c r="C4" s="5" t="s">
        <v>1</v>
      </c>
      <c r="D4" s="5" t="s">
        <v>2</v>
      </c>
      <c r="E4" s="5" t="s">
        <v>3</v>
      </c>
      <c r="F4" s="5" t="s">
        <v>4</v>
      </c>
      <c r="G4" s="5" t="s">
        <v>5</v>
      </c>
      <c r="H4" s="5" t="s">
        <v>6</v>
      </c>
      <c r="I4" s="5" t="s">
        <v>7</v>
      </c>
      <c r="J4" s="5" t="s">
        <v>8</v>
      </c>
      <c r="K4" s="5" t="s">
        <v>9</v>
      </c>
      <c r="L4" s="5" t="s">
        <v>10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16</v>
      </c>
      <c r="S4" s="5" t="s">
        <v>17</v>
      </c>
      <c r="T4" s="5" t="s">
        <v>18</v>
      </c>
      <c r="U4" s="5" t="s">
        <v>19</v>
      </c>
      <c r="V4" s="5" t="s">
        <v>20</v>
      </c>
      <c r="W4" s="5" t="s">
        <v>21</v>
      </c>
      <c r="X4" s="5" t="s">
        <v>22</v>
      </c>
      <c r="Y4" s="5" t="s">
        <v>23</v>
      </c>
      <c r="Z4" s="5" t="s">
        <v>24</v>
      </c>
      <c r="AA4" s="5" t="s">
        <v>25</v>
      </c>
      <c r="AB4" s="5" t="s">
        <v>26</v>
      </c>
      <c r="AC4" s="5" t="s">
        <v>27</v>
      </c>
      <c r="AD4" s="5" t="s">
        <v>28</v>
      </c>
      <c r="AE4" s="5" t="s">
        <v>29</v>
      </c>
      <c r="AF4" s="5" t="s">
        <v>30</v>
      </c>
      <c r="AG4" s="5" t="s">
        <v>31</v>
      </c>
      <c r="AH4" s="5" t="s">
        <v>32</v>
      </c>
      <c r="AI4" s="5" t="s">
        <v>33</v>
      </c>
      <c r="AJ4" s="5" t="s">
        <v>34</v>
      </c>
      <c r="AK4" s="5" t="s">
        <v>35</v>
      </c>
      <c r="AL4" s="5" t="s">
        <v>36</v>
      </c>
      <c r="AM4" s="5" t="s">
        <v>37</v>
      </c>
      <c r="AN4" s="5" t="s">
        <v>38</v>
      </c>
      <c r="AO4" s="5" t="s">
        <v>39</v>
      </c>
      <c r="AP4" s="5" t="s">
        <v>40</v>
      </c>
      <c r="AQ4" s="5" t="s">
        <v>41</v>
      </c>
      <c r="AR4" s="5" t="s">
        <v>42</v>
      </c>
      <c r="AS4" s="5" t="s">
        <v>43</v>
      </c>
      <c r="AT4" s="5" t="s">
        <v>44</v>
      </c>
      <c r="AU4" s="5" t="s">
        <v>45</v>
      </c>
      <c r="AV4" s="5" t="s">
        <v>46</v>
      </c>
      <c r="AW4" s="5" t="s">
        <v>47</v>
      </c>
      <c r="AX4" s="5" t="s">
        <v>48</v>
      </c>
      <c r="AY4" s="5" t="s">
        <v>49</v>
      </c>
      <c r="AZ4" s="5" t="s">
        <v>50</v>
      </c>
      <c r="BA4" s="5" t="s">
        <v>51</v>
      </c>
      <c r="BB4" s="5" t="s">
        <v>52</v>
      </c>
      <c r="BC4" s="5" t="s">
        <v>53</v>
      </c>
    </row>
    <row r="5" spans="2:55" x14ac:dyDescent="0.25">
      <c r="B5" s="5">
        <v>5</v>
      </c>
      <c r="C5" s="5">
        <v>0</v>
      </c>
      <c r="D5" s="6">
        <v>0.46170967209529701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-1.8120534954819101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-1.56816007976188</v>
      </c>
      <c r="S5" s="6">
        <v>0</v>
      </c>
      <c r="T5" s="6">
        <v>0</v>
      </c>
      <c r="U5" s="6">
        <v>0</v>
      </c>
      <c r="V5" s="6">
        <v>0</v>
      </c>
      <c r="W5" s="6">
        <v>0</v>
      </c>
      <c r="X5" s="6">
        <v>0</v>
      </c>
      <c r="Y5" s="6">
        <v>0</v>
      </c>
      <c r="Z5" s="6">
        <v>-1.81756943363989</v>
      </c>
      <c r="AA5" s="6">
        <v>0</v>
      </c>
      <c r="AB5" s="6">
        <v>0</v>
      </c>
      <c r="AC5" s="6">
        <v>-1.7203659718412501</v>
      </c>
      <c r="AD5" s="6">
        <v>0</v>
      </c>
      <c r="AE5" s="6">
        <v>0</v>
      </c>
      <c r="AF5" s="6">
        <v>0</v>
      </c>
      <c r="AG5" s="6">
        <v>0</v>
      </c>
      <c r="AH5" s="6">
        <v>0</v>
      </c>
      <c r="AI5" s="6">
        <v>0</v>
      </c>
      <c r="AJ5" s="6">
        <v>0</v>
      </c>
      <c r="AK5" s="6">
        <v>0</v>
      </c>
      <c r="AL5" s="6">
        <v>0</v>
      </c>
      <c r="AM5" s="6">
        <v>0</v>
      </c>
      <c r="AN5" s="6">
        <v>0</v>
      </c>
      <c r="AO5" s="6">
        <v>0</v>
      </c>
      <c r="AP5" s="6">
        <v>0</v>
      </c>
      <c r="AQ5" s="6">
        <v>0</v>
      </c>
      <c r="AR5" s="6">
        <v>0</v>
      </c>
      <c r="AS5" s="6">
        <v>0</v>
      </c>
      <c r="AT5" s="6">
        <v>0</v>
      </c>
      <c r="AU5" s="6">
        <v>0</v>
      </c>
      <c r="AV5" s="6">
        <v>0</v>
      </c>
      <c r="AW5" s="6">
        <v>0</v>
      </c>
      <c r="AX5" s="6">
        <v>0</v>
      </c>
      <c r="AY5" s="6">
        <v>0</v>
      </c>
      <c r="AZ5" s="6">
        <v>0</v>
      </c>
      <c r="BA5" s="6">
        <v>0</v>
      </c>
      <c r="BB5" s="6">
        <v>0.99064278404389305</v>
      </c>
      <c r="BC5" s="6">
        <v>13.162879516115501</v>
      </c>
    </row>
    <row r="6" spans="2:55" x14ac:dyDescent="0.25">
      <c r="B6" s="5">
        <v>5</v>
      </c>
      <c r="C6" s="5">
        <v>1</v>
      </c>
      <c r="D6" s="6">
        <v>0.46446682746004703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-2.0499880775752599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-1.6838036004163901</v>
      </c>
      <c r="S6" s="6">
        <v>0</v>
      </c>
      <c r="T6" s="6">
        <v>0</v>
      </c>
      <c r="U6" s="6">
        <v>0</v>
      </c>
      <c r="V6" s="6">
        <v>0</v>
      </c>
      <c r="W6" s="6">
        <v>0</v>
      </c>
      <c r="X6" s="6">
        <v>0</v>
      </c>
      <c r="Y6" s="6">
        <v>0</v>
      </c>
      <c r="Z6" s="6">
        <v>-1.8866216044091</v>
      </c>
      <c r="AA6" s="6">
        <v>0</v>
      </c>
      <c r="AB6" s="6">
        <v>0</v>
      </c>
      <c r="AC6" s="6">
        <v>-1.4970136621001</v>
      </c>
      <c r="AD6" s="6">
        <v>0</v>
      </c>
      <c r="AE6" s="6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6">
        <v>0</v>
      </c>
      <c r="AM6" s="6">
        <v>0</v>
      </c>
      <c r="AN6" s="6">
        <v>0</v>
      </c>
      <c r="AO6" s="6">
        <v>0</v>
      </c>
      <c r="AP6" s="6">
        <v>0</v>
      </c>
      <c r="AQ6" s="6">
        <v>0</v>
      </c>
      <c r="AR6" s="6">
        <v>0</v>
      </c>
      <c r="AS6" s="6">
        <v>0</v>
      </c>
      <c r="AT6" s="6">
        <v>0</v>
      </c>
      <c r="AU6" s="6">
        <v>0</v>
      </c>
      <c r="AV6" s="6">
        <v>0</v>
      </c>
      <c r="AW6" s="6">
        <v>0</v>
      </c>
      <c r="AX6" s="6">
        <v>0</v>
      </c>
      <c r="AY6" s="6">
        <v>0</v>
      </c>
      <c r="AZ6" s="6">
        <v>0</v>
      </c>
      <c r="BA6" s="6">
        <v>0</v>
      </c>
      <c r="BB6" s="6">
        <v>0.98169491423382704</v>
      </c>
      <c r="BC6" s="6">
        <v>3.1842299764556601</v>
      </c>
    </row>
    <row r="7" spans="2:55" x14ac:dyDescent="0.25">
      <c r="B7" s="5">
        <v>5</v>
      </c>
      <c r="C7" s="5">
        <v>2</v>
      </c>
      <c r="D7" s="6">
        <v>0.45105386955072302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-1.95908927689632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-1.55264543773233</v>
      </c>
      <c r="S7" s="6">
        <v>0</v>
      </c>
      <c r="T7" s="6">
        <v>0</v>
      </c>
      <c r="U7" s="6">
        <v>0</v>
      </c>
      <c r="V7" s="6">
        <v>0</v>
      </c>
      <c r="W7" s="6">
        <v>0</v>
      </c>
      <c r="X7" s="6">
        <v>0</v>
      </c>
      <c r="Y7" s="6">
        <v>0</v>
      </c>
      <c r="Z7" s="6">
        <v>-2.0279777999570698</v>
      </c>
      <c r="AA7" s="6">
        <v>0</v>
      </c>
      <c r="AB7" s="6">
        <v>0</v>
      </c>
      <c r="AC7" s="6">
        <v>-1.4995638839866301</v>
      </c>
      <c r="AD7" s="6">
        <v>0</v>
      </c>
      <c r="AE7" s="6">
        <v>0</v>
      </c>
      <c r="AF7" s="6">
        <v>0</v>
      </c>
      <c r="AG7" s="6">
        <v>0</v>
      </c>
      <c r="AH7" s="6">
        <v>0</v>
      </c>
      <c r="AI7" s="6">
        <v>0</v>
      </c>
      <c r="AJ7" s="6">
        <v>0</v>
      </c>
      <c r="AK7" s="6">
        <v>0</v>
      </c>
      <c r="AL7" s="6">
        <v>0</v>
      </c>
      <c r="AM7" s="6">
        <v>0</v>
      </c>
      <c r="AN7" s="6">
        <v>0</v>
      </c>
      <c r="AO7" s="6">
        <v>0</v>
      </c>
      <c r="AP7" s="6">
        <v>0</v>
      </c>
      <c r="AQ7" s="6">
        <v>0</v>
      </c>
      <c r="AR7" s="6">
        <v>0</v>
      </c>
      <c r="AS7" s="6">
        <v>0</v>
      </c>
      <c r="AT7" s="6">
        <v>0</v>
      </c>
      <c r="AU7" s="6">
        <v>0</v>
      </c>
      <c r="AV7" s="6">
        <v>0</v>
      </c>
      <c r="AW7" s="6">
        <v>0</v>
      </c>
      <c r="AX7" s="6">
        <v>0</v>
      </c>
      <c r="AY7" s="6">
        <v>0</v>
      </c>
      <c r="AZ7" s="6">
        <v>0</v>
      </c>
      <c r="BA7" s="6">
        <v>0</v>
      </c>
      <c r="BB7" s="6">
        <v>0.94890710698609204</v>
      </c>
      <c r="BC7" s="6">
        <v>8.7032940516602793</v>
      </c>
    </row>
    <row r="8" spans="2:55" x14ac:dyDescent="0.25">
      <c r="B8" s="5">
        <v>5</v>
      </c>
      <c r="C8" s="5">
        <v>3</v>
      </c>
      <c r="D8" s="6">
        <v>0.32423254163965898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-1.9569794457309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-1.36327296827198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-1.96064030966611</v>
      </c>
      <c r="AA8" s="6">
        <v>0</v>
      </c>
      <c r="AB8" s="6">
        <v>0</v>
      </c>
      <c r="AC8" s="6">
        <v>-1.6738423013130299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0</v>
      </c>
      <c r="AM8" s="6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  <c r="AS8" s="6">
        <v>0</v>
      </c>
      <c r="AT8" s="6">
        <v>0</v>
      </c>
      <c r="AU8" s="6">
        <v>0</v>
      </c>
      <c r="AV8" s="6">
        <v>0</v>
      </c>
      <c r="AW8" s="6">
        <v>0</v>
      </c>
      <c r="AX8" s="6">
        <v>0</v>
      </c>
      <c r="AY8" s="6">
        <v>0</v>
      </c>
      <c r="AZ8" s="6">
        <v>0</v>
      </c>
      <c r="BA8" s="6">
        <v>0</v>
      </c>
      <c r="BB8" s="6">
        <v>1.0694497836307799</v>
      </c>
      <c r="BC8" s="6">
        <v>22.955593470545399</v>
      </c>
    </row>
    <row r="9" spans="2:55" x14ac:dyDescent="0.25">
      <c r="B9" s="5">
        <v>5</v>
      </c>
      <c r="C9" s="5">
        <v>4</v>
      </c>
      <c r="D9" s="6">
        <v>0.65775741845192304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-2.2241819077882901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-1.3628374056188901</v>
      </c>
      <c r="S9" s="6">
        <v>0</v>
      </c>
      <c r="T9" s="6">
        <v>0</v>
      </c>
      <c r="U9" s="6">
        <v>0</v>
      </c>
      <c r="V9" s="6">
        <v>0</v>
      </c>
      <c r="W9" s="6">
        <v>0</v>
      </c>
      <c r="X9" s="6">
        <v>0</v>
      </c>
      <c r="Y9" s="6">
        <v>0</v>
      </c>
      <c r="Z9" s="6">
        <v>-2.3730050988641498</v>
      </c>
      <c r="AA9" s="6">
        <v>0</v>
      </c>
      <c r="AB9" s="6">
        <v>0</v>
      </c>
      <c r="AC9" s="6">
        <v>-1.25179215478051</v>
      </c>
      <c r="AD9" s="6">
        <v>0</v>
      </c>
      <c r="AE9" s="6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6">
        <v>0</v>
      </c>
      <c r="AM9" s="6">
        <v>0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0</v>
      </c>
      <c r="AT9" s="6">
        <v>0</v>
      </c>
      <c r="AU9" s="6">
        <v>0</v>
      </c>
      <c r="AV9" s="6">
        <v>1.07123938164098</v>
      </c>
      <c r="AW9" s="6">
        <v>0</v>
      </c>
      <c r="AX9" s="6">
        <v>0</v>
      </c>
      <c r="AY9" s="6">
        <v>0</v>
      </c>
      <c r="AZ9" s="6">
        <v>0</v>
      </c>
      <c r="BA9" s="6">
        <v>0</v>
      </c>
      <c r="BB9" s="6">
        <v>0</v>
      </c>
      <c r="BC9" s="6">
        <v>39.198811287996698</v>
      </c>
    </row>
    <row r="10" spans="2:55" x14ac:dyDescent="0.25">
      <c r="B10" s="5">
        <v>5</v>
      </c>
      <c r="C10" s="5">
        <v>5</v>
      </c>
      <c r="D10" s="6">
        <v>0.46650340605273299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-1.9651679127048201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-1.62967301829288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-1.9655054256709801</v>
      </c>
      <c r="AA10" s="6">
        <v>0</v>
      </c>
      <c r="AB10" s="6">
        <v>0</v>
      </c>
      <c r="AC10" s="6">
        <v>-1.47971089984107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6">
        <v>0</v>
      </c>
      <c r="AT10" s="6">
        <v>0</v>
      </c>
      <c r="AU10" s="6">
        <v>0</v>
      </c>
      <c r="AV10" s="6">
        <v>0</v>
      </c>
      <c r="AW10" s="6">
        <v>0</v>
      </c>
      <c r="AX10" s="6">
        <v>0</v>
      </c>
      <c r="AY10" s="6">
        <v>0</v>
      </c>
      <c r="AZ10" s="6">
        <v>0</v>
      </c>
      <c r="BA10" s="6">
        <v>0</v>
      </c>
      <c r="BB10" s="6">
        <v>0.84785089927862101</v>
      </c>
      <c r="BC10" s="6">
        <v>13.630636325746901</v>
      </c>
    </row>
    <row r="11" spans="2:55" x14ac:dyDescent="0.25">
      <c r="B11" s="5">
        <v>5</v>
      </c>
      <c r="C11" s="5">
        <v>6</v>
      </c>
      <c r="D11" s="6">
        <v>0.52942229175801903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-2.0827326686201602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-1.68081233852752</v>
      </c>
      <c r="S11" s="6">
        <v>0</v>
      </c>
      <c r="T11" s="6">
        <v>0</v>
      </c>
      <c r="U11" s="6">
        <v>0</v>
      </c>
      <c r="V11" s="6">
        <v>0</v>
      </c>
      <c r="W11" s="6">
        <v>0</v>
      </c>
      <c r="X11" s="6">
        <v>0</v>
      </c>
      <c r="Y11" s="6">
        <v>0</v>
      </c>
      <c r="Z11" s="6">
        <v>-1.87443150338066</v>
      </c>
      <c r="AA11" s="6">
        <v>0</v>
      </c>
      <c r="AB11" s="6">
        <v>0</v>
      </c>
      <c r="AC11" s="6">
        <v>-1.4923966659569201</v>
      </c>
      <c r="AD11" s="6">
        <v>0</v>
      </c>
      <c r="AE11" s="6">
        <v>0</v>
      </c>
      <c r="AF11" s="6">
        <v>0</v>
      </c>
      <c r="AG11" s="6">
        <v>0</v>
      </c>
      <c r="AH11" s="6">
        <v>0</v>
      </c>
      <c r="AI11" s="6">
        <v>0</v>
      </c>
      <c r="AJ11" s="6">
        <v>0</v>
      </c>
      <c r="AK11" s="6">
        <v>0</v>
      </c>
      <c r="AL11" s="6">
        <v>0</v>
      </c>
      <c r="AM11" s="6">
        <v>0</v>
      </c>
      <c r="AN11" s="6">
        <v>0</v>
      </c>
      <c r="AO11" s="6">
        <v>0</v>
      </c>
      <c r="AP11" s="6">
        <v>0</v>
      </c>
      <c r="AQ11" s="6">
        <v>0</v>
      </c>
      <c r="AR11" s="6">
        <v>0</v>
      </c>
      <c r="AS11" s="6">
        <v>0</v>
      </c>
      <c r="AT11" s="6">
        <v>0</v>
      </c>
      <c r="AU11" s="6">
        <v>0</v>
      </c>
      <c r="AV11" s="6">
        <v>0</v>
      </c>
      <c r="AW11" s="6">
        <v>0</v>
      </c>
      <c r="AX11" s="6">
        <v>0</v>
      </c>
      <c r="AY11" s="6">
        <v>0</v>
      </c>
      <c r="AZ11" s="6">
        <v>0</v>
      </c>
      <c r="BA11" s="6">
        <v>0</v>
      </c>
      <c r="BB11" s="6">
        <v>1.05030930639472</v>
      </c>
      <c r="BC11" s="6">
        <v>17.006522074434098</v>
      </c>
    </row>
    <row r="12" spans="2:55" x14ac:dyDescent="0.25">
      <c r="B12" s="5">
        <v>5</v>
      </c>
      <c r="C12" s="5">
        <v>7</v>
      </c>
      <c r="D12" s="6">
        <v>0.49343261546011902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-1.9929189734997399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-1.56622000119729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-1.9442893942157</v>
      </c>
      <c r="AA12" s="6">
        <v>0</v>
      </c>
      <c r="AB12" s="6">
        <v>0</v>
      </c>
      <c r="AC12" s="6">
        <v>-1.5174324645345001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6">
        <v>0</v>
      </c>
      <c r="AT12" s="6">
        <v>0</v>
      </c>
      <c r="AU12" s="6">
        <v>0</v>
      </c>
      <c r="AV12" s="6">
        <v>0</v>
      </c>
      <c r="AW12" s="6">
        <v>0</v>
      </c>
      <c r="AX12" s="6">
        <v>0</v>
      </c>
      <c r="AY12" s="6">
        <v>0</v>
      </c>
      <c r="AZ12" s="6">
        <v>0</v>
      </c>
      <c r="BA12" s="6">
        <v>0</v>
      </c>
      <c r="BB12" s="6">
        <v>0.94459592809099002</v>
      </c>
      <c r="BC12" s="6">
        <v>1.7363360183682399</v>
      </c>
    </row>
    <row r="13" spans="2:55" x14ac:dyDescent="0.25">
      <c r="B13" s="5">
        <v>5</v>
      </c>
      <c r="C13" s="5">
        <v>8</v>
      </c>
      <c r="D13" s="6">
        <v>0.98206508900221101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-1.70581741758449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W13" s="6">
        <v>0</v>
      </c>
      <c r="X13" s="6">
        <v>0</v>
      </c>
      <c r="Y13" s="6">
        <v>0</v>
      </c>
      <c r="Z13" s="6">
        <v>-1.90311823147796</v>
      </c>
      <c r="AA13" s="6">
        <v>0</v>
      </c>
      <c r="AB13" s="6">
        <v>0</v>
      </c>
      <c r="AC13" s="6">
        <v>-2.0080545647474999</v>
      </c>
      <c r="AD13" s="6">
        <v>0</v>
      </c>
      <c r="AE13" s="6">
        <v>0</v>
      </c>
      <c r="AF13" s="6">
        <v>0</v>
      </c>
      <c r="AG13" s="6">
        <v>0</v>
      </c>
      <c r="AH13" s="6">
        <v>0</v>
      </c>
      <c r="AI13" s="6">
        <v>0</v>
      </c>
      <c r="AJ13" s="6">
        <v>0</v>
      </c>
      <c r="AK13" s="6">
        <v>0</v>
      </c>
      <c r="AL13" s="6">
        <v>0</v>
      </c>
      <c r="AM13" s="6">
        <v>0</v>
      </c>
      <c r="AN13" s="6">
        <v>0</v>
      </c>
      <c r="AO13" s="6">
        <v>0</v>
      </c>
      <c r="AP13" s="6">
        <v>0</v>
      </c>
      <c r="AQ13" s="6">
        <v>0</v>
      </c>
      <c r="AR13" s="6">
        <v>0</v>
      </c>
      <c r="AS13" s="6">
        <v>0</v>
      </c>
      <c r="AT13" s="6">
        <v>0</v>
      </c>
      <c r="AU13" s="6">
        <v>0</v>
      </c>
      <c r="AV13" s="6">
        <v>1.54558268392633</v>
      </c>
      <c r="AW13" s="6">
        <v>0</v>
      </c>
      <c r="AX13" s="6">
        <v>0</v>
      </c>
      <c r="AY13" s="6">
        <v>0</v>
      </c>
      <c r="AZ13" s="6">
        <v>0</v>
      </c>
      <c r="BA13" s="6">
        <v>0</v>
      </c>
      <c r="BB13" s="6">
        <v>1.37522595236484</v>
      </c>
      <c r="BC13" s="6">
        <v>29.911015554055801</v>
      </c>
    </row>
    <row r="14" spans="2:55" x14ac:dyDescent="0.25">
      <c r="B14" s="5">
        <v>5</v>
      </c>
      <c r="C14" s="5">
        <v>9</v>
      </c>
      <c r="D14" s="6">
        <v>0.47580430699855297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-2.0197260215341499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-1.64518807458089</v>
      </c>
      <c r="S14" s="6">
        <v>0</v>
      </c>
      <c r="T14" s="6">
        <v>0</v>
      </c>
      <c r="U14" s="6">
        <v>0</v>
      </c>
      <c r="V14" s="6">
        <v>0</v>
      </c>
      <c r="W14" s="6">
        <v>0</v>
      </c>
      <c r="X14" s="6">
        <v>0</v>
      </c>
      <c r="Y14" s="6">
        <v>0</v>
      </c>
      <c r="Z14" s="6">
        <v>-1.7950574112151201</v>
      </c>
      <c r="AA14" s="6">
        <v>0</v>
      </c>
      <c r="AB14" s="6">
        <v>0</v>
      </c>
      <c r="AC14" s="6">
        <v>-1.7916690366958601</v>
      </c>
      <c r="AD14" s="6">
        <v>0</v>
      </c>
      <c r="AE14" s="6">
        <v>0</v>
      </c>
      <c r="AF14" s="6">
        <v>0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6">
        <v>0</v>
      </c>
      <c r="AP14" s="6">
        <v>0</v>
      </c>
      <c r="AQ14" s="6">
        <v>0</v>
      </c>
      <c r="AR14" s="6">
        <v>0</v>
      </c>
      <c r="AS14" s="6">
        <v>0</v>
      </c>
      <c r="AT14" s="6">
        <v>0</v>
      </c>
      <c r="AU14" s="6">
        <v>0</v>
      </c>
      <c r="AV14" s="6">
        <v>0</v>
      </c>
      <c r="AW14" s="6">
        <v>0</v>
      </c>
      <c r="AX14" s="6">
        <v>0</v>
      </c>
      <c r="AY14" s="6">
        <v>0</v>
      </c>
      <c r="AZ14" s="6">
        <v>0</v>
      </c>
      <c r="BA14" s="6">
        <v>0</v>
      </c>
      <c r="BB14" s="6">
        <v>0.77938392962405101</v>
      </c>
      <c r="BC14" s="6">
        <v>33.347163965512401</v>
      </c>
    </row>
    <row r="15" spans="2:55" x14ac:dyDescent="0.25">
      <c r="B15" s="5">
        <v>10</v>
      </c>
      <c r="C15" s="5">
        <v>0</v>
      </c>
      <c r="D15" s="6">
        <v>0.120451039771114</v>
      </c>
      <c r="E15" s="6">
        <v>0</v>
      </c>
      <c r="F15" s="6">
        <v>-0.77682402779672399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-2.0647161623863401</v>
      </c>
      <c r="M15" s="6">
        <v>-0.51873780066174502</v>
      </c>
      <c r="N15" s="6">
        <v>-0.85327752811737201</v>
      </c>
      <c r="O15" s="6">
        <v>0</v>
      </c>
      <c r="P15" s="6">
        <v>0</v>
      </c>
      <c r="Q15" s="6">
        <v>0</v>
      </c>
      <c r="R15" s="6">
        <v>-1.1463486752207499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-1.52210456178638</v>
      </c>
      <c r="AA15" s="6">
        <v>0</v>
      </c>
      <c r="AB15" s="6">
        <v>0</v>
      </c>
      <c r="AC15" s="6">
        <v>-2.0813347409080101</v>
      </c>
      <c r="AD15" s="6">
        <v>0</v>
      </c>
      <c r="AE15" s="6">
        <v>0</v>
      </c>
      <c r="AF15" s="6">
        <v>0</v>
      </c>
      <c r="AG15" s="6">
        <v>0</v>
      </c>
      <c r="AH15" s="6">
        <v>0</v>
      </c>
      <c r="AI15" s="6">
        <v>0</v>
      </c>
      <c r="AJ15" s="6">
        <v>0</v>
      </c>
      <c r="AK15" s="6">
        <v>0</v>
      </c>
      <c r="AL15" s="6">
        <v>0</v>
      </c>
      <c r="AM15" s="6">
        <v>0</v>
      </c>
      <c r="AN15" s="6">
        <v>0</v>
      </c>
      <c r="AO15" s="6">
        <v>0</v>
      </c>
      <c r="AP15" s="6">
        <v>0</v>
      </c>
      <c r="AQ15" s="6">
        <v>0</v>
      </c>
      <c r="AR15" s="6">
        <v>0</v>
      </c>
      <c r="AS15" s="6">
        <v>0</v>
      </c>
      <c r="AT15" s="6">
        <v>0</v>
      </c>
      <c r="AU15" s="6">
        <v>0</v>
      </c>
      <c r="AV15" s="6">
        <v>1.4381645816923101</v>
      </c>
      <c r="AW15" s="6">
        <v>0</v>
      </c>
      <c r="AX15" s="6">
        <v>1.12789254999598</v>
      </c>
      <c r="AY15" s="6">
        <v>0</v>
      </c>
      <c r="AZ15" s="6">
        <v>0</v>
      </c>
      <c r="BA15" s="6">
        <v>0</v>
      </c>
      <c r="BB15" s="6">
        <v>1.24571866321658</v>
      </c>
      <c r="BC15" s="6">
        <v>2.5604958101158801</v>
      </c>
    </row>
    <row r="16" spans="2:55" x14ac:dyDescent="0.25">
      <c r="B16" s="5">
        <v>10</v>
      </c>
      <c r="C16" s="5">
        <v>1</v>
      </c>
      <c r="D16" s="6">
        <v>0.117567133327144</v>
      </c>
      <c r="E16" s="6">
        <v>0</v>
      </c>
      <c r="F16" s="6">
        <v>-0.796346126497811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-1.9812523151541199</v>
      </c>
      <c r="M16" s="6">
        <v>-0.64839042480023701</v>
      </c>
      <c r="N16" s="6">
        <v>-0.91483114845657598</v>
      </c>
      <c r="O16" s="6">
        <v>0</v>
      </c>
      <c r="P16" s="6">
        <v>0</v>
      </c>
      <c r="Q16" s="6">
        <v>0</v>
      </c>
      <c r="R16" s="6">
        <v>-1.2231643572331501</v>
      </c>
      <c r="S16" s="6">
        <v>0</v>
      </c>
      <c r="T16" s="6">
        <v>0</v>
      </c>
      <c r="U16" s="6">
        <v>0</v>
      </c>
      <c r="V16" s="6">
        <v>0</v>
      </c>
      <c r="W16" s="6">
        <v>0</v>
      </c>
      <c r="X16" s="6">
        <v>0</v>
      </c>
      <c r="Y16" s="6">
        <v>0</v>
      </c>
      <c r="Z16" s="6">
        <v>-1.44739261065521</v>
      </c>
      <c r="AA16" s="6">
        <v>0</v>
      </c>
      <c r="AB16" s="6">
        <v>0</v>
      </c>
      <c r="AC16" s="6">
        <v>-2.2894762242494702</v>
      </c>
      <c r="AD16" s="6">
        <v>0</v>
      </c>
      <c r="AE16" s="6">
        <v>0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6">
        <v>0</v>
      </c>
      <c r="AP16" s="6">
        <v>0</v>
      </c>
      <c r="AQ16" s="6">
        <v>0</v>
      </c>
      <c r="AR16" s="6">
        <v>0</v>
      </c>
      <c r="AS16" s="6">
        <v>0</v>
      </c>
      <c r="AT16" s="6">
        <v>0</v>
      </c>
      <c r="AU16" s="6">
        <v>0</v>
      </c>
      <c r="AV16" s="6">
        <v>1.4234608844488501</v>
      </c>
      <c r="AW16" s="6">
        <v>0</v>
      </c>
      <c r="AX16" s="6">
        <v>1.2113881941519899</v>
      </c>
      <c r="AY16" s="6">
        <v>0</v>
      </c>
      <c r="AZ16" s="6">
        <v>0</v>
      </c>
      <c r="BA16" s="6">
        <v>0</v>
      </c>
      <c r="BB16" s="6">
        <v>1.33783410181852</v>
      </c>
      <c r="BC16" s="6">
        <v>9.7648262112089004</v>
      </c>
    </row>
    <row r="17" spans="2:55" x14ac:dyDescent="0.25">
      <c r="B17" s="5">
        <v>10</v>
      </c>
      <c r="C17" s="5">
        <v>2</v>
      </c>
      <c r="D17" s="6">
        <v>0.148311023396101</v>
      </c>
      <c r="E17" s="6">
        <v>0</v>
      </c>
      <c r="F17" s="6">
        <v>-0.69526968487847896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-1.99453664697346</v>
      </c>
      <c r="M17" s="6">
        <v>-0.51599923443745699</v>
      </c>
      <c r="N17" s="6">
        <v>-0.80307835771191505</v>
      </c>
      <c r="O17" s="6">
        <v>0</v>
      </c>
      <c r="P17" s="6">
        <v>0</v>
      </c>
      <c r="Q17" s="6">
        <v>0</v>
      </c>
      <c r="R17" s="6">
        <v>-1.12531893481288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-1.66864052305213</v>
      </c>
      <c r="AA17" s="6">
        <v>0</v>
      </c>
      <c r="AB17" s="6">
        <v>0</v>
      </c>
      <c r="AC17" s="6">
        <v>-2.1249213168985901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0</v>
      </c>
      <c r="AS17" s="6">
        <v>0</v>
      </c>
      <c r="AT17" s="6">
        <v>0</v>
      </c>
      <c r="AU17" s="6">
        <v>0</v>
      </c>
      <c r="AV17" s="6">
        <v>1.43055722968779</v>
      </c>
      <c r="AW17" s="6">
        <v>0</v>
      </c>
      <c r="AX17" s="6">
        <v>1.0754720674293099</v>
      </c>
      <c r="AY17" s="6">
        <v>0</v>
      </c>
      <c r="AZ17" s="6">
        <v>0</v>
      </c>
      <c r="BA17" s="6">
        <v>0</v>
      </c>
      <c r="BB17" s="6">
        <v>1.24203564752648</v>
      </c>
      <c r="BC17" s="6">
        <v>3.50488845615746</v>
      </c>
    </row>
    <row r="18" spans="2:55" x14ac:dyDescent="0.25">
      <c r="B18" s="5">
        <v>10</v>
      </c>
      <c r="C18" s="5">
        <v>3</v>
      </c>
      <c r="D18" s="6">
        <v>0.173513420343749</v>
      </c>
      <c r="E18" s="6">
        <v>0</v>
      </c>
      <c r="F18" s="6">
        <v>0</v>
      </c>
      <c r="G18" s="6">
        <v>0</v>
      </c>
      <c r="H18" s="6">
        <v>0</v>
      </c>
      <c r="I18" s="6">
        <v>-1.02547305390988</v>
      </c>
      <c r="J18" s="6">
        <v>0</v>
      </c>
      <c r="K18" s="6">
        <v>0</v>
      </c>
      <c r="L18" s="6">
        <v>-1.98180225046824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-1.3926307546746</v>
      </c>
      <c r="S18" s="6">
        <v>-0.77626334159769295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-1.3894343179981801</v>
      </c>
      <c r="AA18" s="6">
        <v>0</v>
      </c>
      <c r="AB18" s="6">
        <v>0</v>
      </c>
      <c r="AC18" s="6">
        <v>-0.65590479409433899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  <c r="AM18" s="6">
        <v>-0.71687800130888102</v>
      </c>
      <c r="AN18" s="6">
        <v>0</v>
      </c>
      <c r="AO18" s="6">
        <v>0</v>
      </c>
      <c r="AP18" s="6">
        <v>0</v>
      </c>
      <c r="AQ18" s="6">
        <v>0</v>
      </c>
      <c r="AR18" s="6">
        <v>0</v>
      </c>
      <c r="AS18" s="6">
        <v>0</v>
      </c>
      <c r="AT18" s="6">
        <v>-1.63985397315995</v>
      </c>
      <c r="AU18" s="6">
        <v>0</v>
      </c>
      <c r="AV18" s="6">
        <v>0</v>
      </c>
      <c r="AW18" s="6">
        <v>0</v>
      </c>
      <c r="AX18" s="6">
        <v>0</v>
      </c>
      <c r="AY18" s="6">
        <v>-1.2435406539639799</v>
      </c>
      <c r="AZ18" s="6">
        <v>0</v>
      </c>
      <c r="BA18" s="6">
        <v>0</v>
      </c>
      <c r="BB18" s="6">
        <v>0.84776157794073703</v>
      </c>
      <c r="BC18" s="6">
        <v>43.4856972775084</v>
      </c>
    </row>
    <row r="19" spans="2:55" x14ac:dyDescent="0.25">
      <c r="B19" s="5">
        <v>10</v>
      </c>
      <c r="C19" s="5">
        <v>4</v>
      </c>
      <c r="D19" s="6">
        <v>0.15465772310261799</v>
      </c>
      <c r="E19" s="6">
        <v>0</v>
      </c>
      <c r="F19" s="6">
        <v>-0.81995002788847404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-1.95874480927881</v>
      </c>
      <c r="M19" s="6">
        <v>-0.59029157426392598</v>
      </c>
      <c r="N19" s="6">
        <v>-0.84853920750645395</v>
      </c>
      <c r="O19" s="6">
        <v>0</v>
      </c>
      <c r="P19" s="6">
        <v>0</v>
      </c>
      <c r="Q19" s="6">
        <v>0</v>
      </c>
      <c r="R19" s="6">
        <v>-1.1575815605567199</v>
      </c>
      <c r="S19" s="6">
        <v>0</v>
      </c>
      <c r="T19" s="6">
        <v>0</v>
      </c>
      <c r="U19" s="6">
        <v>0</v>
      </c>
      <c r="V19" s="6">
        <v>0</v>
      </c>
      <c r="W19" s="6">
        <v>0</v>
      </c>
      <c r="X19" s="6">
        <v>0</v>
      </c>
      <c r="Y19" s="6">
        <v>0</v>
      </c>
      <c r="Z19" s="6">
        <v>-1.5444861537227701</v>
      </c>
      <c r="AA19" s="6">
        <v>0</v>
      </c>
      <c r="AB19" s="6">
        <v>0</v>
      </c>
      <c r="AC19" s="6">
        <v>-2.1695168730657599</v>
      </c>
      <c r="AD19" s="6">
        <v>0</v>
      </c>
      <c r="AE19" s="6">
        <v>0</v>
      </c>
      <c r="AF19" s="6">
        <v>0</v>
      </c>
      <c r="AG19" s="6">
        <v>0</v>
      </c>
      <c r="AH19" s="6">
        <v>0</v>
      </c>
      <c r="AI19" s="6">
        <v>0</v>
      </c>
      <c r="AJ19" s="6">
        <v>0</v>
      </c>
      <c r="AK19" s="6">
        <v>0</v>
      </c>
      <c r="AL19" s="6">
        <v>0</v>
      </c>
      <c r="AM19" s="6">
        <v>0</v>
      </c>
      <c r="AN19" s="6">
        <v>0</v>
      </c>
      <c r="AO19" s="6">
        <v>0</v>
      </c>
      <c r="AP19" s="6">
        <v>0</v>
      </c>
      <c r="AQ19" s="6">
        <v>0</v>
      </c>
      <c r="AR19" s="6">
        <v>0</v>
      </c>
      <c r="AS19" s="6">
        <v>0</v>
      </c>
      <c r="AT19" s="6">
        <v>0</v>
      </c>
      <c r="AU19" s="6">
        <v>0</v>
      </c>
      <c r="AV19" s="6">
        <v>1.52271886182257</v>
      </c>
      <c r="AW19" s="6">
        <v>0</v>
      </c>
      <c r="AX19" s="6">
        <v>0.90777450870108101</v>
      </c>
      <c r="AY19" s="6">
        <v>0</v>
      </c>
      <c r="AZ19" s="6">
        <v>0</v>
      </c>
      <c r="BA19" s="6">
        <v>0</v>
      </c>
      <c r="BB19" s="6">
        <v>1.0980767701429399</v>
      </c>
      <c r="BC19" s="6">
        <v>12.393722052134301</v>
      </c>
    </row>
    <row r="20" spans="2:55" x14ac:dyDescent="0.25">
      <c r="B20" s="5">
        <v>10</v>
      </c>
      <c r="C20" s="5">
        <v>5</v>
      </c>
      <c r="D20" s="6">
        <v>0.21395201301283601</v>
      </c>
      <c r="E20" s="6">
        <v>0</v>
      </c>
      <c r="F20" s="6">
        <v>0</v>
      </c>
      <c r="G20" s="6">
        <v>0</v>
      </c>
      <c r="H20" s="6">
        <v>0</v>
      </c>
      <c r="I20" s="6">
        <v>-1.1421619995569701</v>
      </c>
      <c r="J20" s="6">
        <v>0</v>
      </c>
      <c r="K20" s="6">
        <v>0</v>
      </c>
      <c r="L20" s="6">
        <v>-1.9622325440969799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-1.2474271471820599</v>
      </c>
      <c r="S20" s="6">
        <v>-1.15807932467254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-0.99908117461158497</v>
      </c>
      <c r="AA20" s="6">
        <v>0</v>
      </c>
      <c r="AB20" s="6">
        <v>-0.71390631835287199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-0.97958028014343901</v>
      </c>
      <c r="AN20" s="6">
        <v>0</v>
      </c>
      <c r="AO20" s="6">
        <v>0</v>
      </c>
      <c r="AP20" s="6">
        <v>-1.4598449290492299</v>
      </c>
      <c r="AQ20" s="6">
        <v>0</v>
      </c>
      <c r="AR20" s="6">
        <v>0</v>
      </c>
      <c r="AS20" s="6">
        <v>0</v>
      </c>
      <c r="AT20" s="6">
        <v>-1.4730369678826001</v>
      </c>
      <c r="AU20" s="6">
        <v>0</v>
      </c>
      <c r="AV20" s="6">
        <v>0</v>
      </c>
      <c r="AW20" s="6">
        <v>0</v>
      </c>
      <c r="AX20" s="6">
        <v>0</v>
      </c>
      <c r="AY20" s="6">
        <v>-1.01008798474211</v>
      </c>
      <c r="AZ20" s="6">
        <v>0</v>
      </c>
      <c r="BA20" s="6">
        <v>0</v>
      </c>
      <c r="BB20" s="6">
        <v>0</v>
      </c>
      <c r="BC20" s="6">
        <v>45.432833032504597</v>
      </c>
    </row>
    <row r="21" spans="2:55" x14ac:dyDescent="0.25">
      <c r="B21" s="5">
        <v>10</v>
      </c>
      <c r="C21" s="5">
        <v>6</v>
      </c>
      <c r="D21" s="6">
        <v>0.20156251691226501</v>
      </c>
      <c r="E21" s="6">
        <v>0</v>
      </c>
      <c r="F21" s="6">
        <v>-0.75130579054501301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-1.9956049267063301</v>
      </c>
      <c r="M21" s="6">
        <v>-0.45360969560827702</v>
      </c>
      <c r="N21" s="6">
        <v>-0.78395183648316302</v>
      </c>
      <c r="O21" s="6">
        <v>0</v>
      </c>
      <c r="P21" s="6">
        <v>0</v>
      </c>
      <c r="Q21" s="6">
        <v>0</v>
      </c>
      <c r="R21" s="6">
        <v>-1.14274987921265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-1.5832492718701201</v>
      </c>
      <c r="AA21" s="6">
        <v>0</v>
      </c>
      <c r="AB21" s="6">
        <v>0</v>
      </c>
      <c r="AC21" s="6">
        <v>-2.1198322462519199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6">
        <v>0</v>
      </c>
      <c r="AT21" s="6">
        <v>0</v>
      </c>
      <c r="AU21" s="6">
        <v>0</v>
      </c>
      <c r="AV21" s="6">
        <v>1.35037994253004</v>
      </c>
      <c r="AW21" s="6">
        <v>0</v>
      </c>
      <c r="AX21" s="6">
        <v>1.02995705089501</v>
      </c>
      <c r="AY21" s="6">
        <v>0</v>
      </c>
      <c r="AZ21" s="6">
        <v>0</v>
      </c>
      <c r="BA21" s="6">
        <v>0</v>
      </c>
      <c r="BB21" s="6">
        <v>1.2266375340958999</v>
      </c>
      <c r="BC21" s="6">
        <v>0.86145598801074597</v>
      </c>
    </row>
    <row r="22" spans="2:55" x14ac:dyDescent="0.25">
      <c r="B22" s="5">
        <v>10</v>
      </c>
      <c r="C22" s="5">
        <v>7</v>
      </c>
      <c r="D22" s="6">
        <v>0.17918125875406901</v>
      </c>
      <c r="E22" s="6">
        <v>0</v>
      </c>
      <c r="F22" s="6">
        <v>-0.78953416058682802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-2.0363862063592402</v>
      </c>
      <c r="M22" s="6">
        <v>-0.43684748696322401</v>
      </c>
      <c r="N22" s="6">
        <v>-0.86458872579180301</v>
      </c>
      <c r="O22" s="6">
        <v>0</v>
      </c>
      <c r="P22" s="6">
        <v>0</v>
      </c>
      <c r="Q22" s="6">
        <v>0</v>
      </c>
      <c r="R22" s="6">
        <v>-1.1343609369971599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-1.48255006318327</v>
      </c>
      <c r="AA22" s="6">
        <v>0</v>
      </c>
      <c r="AB22" s="6">
        <v>0</v>
      </c>
      <c r="AC22" s="6">
        <v>-2.0482539417147598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6">
        <v>0</v>
      </c>
      <c r="AT22" s="6">
        <v>0</v>
      </c>
      <c r="AU22" s="6">
        <v>0</v>
      </c>
      <c r="AV22" s="6">
        <v>1.4976749533257701</v>
      </c>
      <c r="AW22" s="6">
        <v>0</v>
      </c>
      <c r="AX22" s="6">
        <v>1.1159474417638899</v>
      </c>
      <c r="AY22" s="6">
        <v>0</v>
      </c>
      <c r="AZ22" s="6">
        <v>0</v>
      </c>
      <c r="BA22" s="6">
        <v>0</v>
      </c>
      <c r="BB22" s="6">
        <v>1.2426250847387399</v>
      </c>
      <c r="BC22" s="6">
        <v>7.0371188943478797</v>
      </c>
    </row>
    <row r="23" spans="2:55" x14ac:dyDescent="0.25">
      <c r="B23" s="5">
        <v>10</v>
      </c>
      <c r="C23" s="5">
        <v>8</v>
      </c>
      <c r="D23" s="6">
        <v>0.19542916504981001</v>
      </c>
      <c r="E23" s="6">
        <v>0</v>
      </c>
      <c r="F23" s="6">
        <v>-0.78270842296710996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-1.9288412401125601</v>
      </c>
      <c r="M23" s="6">
        <v>-0.478807127296762</v>
      </c>
      <c r="N23" s="6">
        <v>-0.82342006423185699</v>
      </c>
      <c r="O23" s="6">
        <v>0</v>
      </c>
      <c r="P23" s="6">
        <v>0</v>
      </c>
      <c r="Q23" s="6">
        <v>0</v>
      </c>
      <c r="R23" s="6">
        <v>-0.98633770329177295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  <c r="X23" s="6">
        <v>0</v>
      </c>
      <c r="Y23" s="6">
        <v>0</v>
      </c>
      <c r="Z23" s="6">
        <v>-1.4294649748975601</v>
      </c>
      <c r="AA23" s="6">
        <v>0</v>
      </c>
      <c r="AB23" s="6">
        <v>0</v>
      </c>
      <c r="AC23" s="6">
        <v>-2.27861824304986</v>
      </c>
      <c r="AD23" s="6">
        <v>0</v>
      </c>
      <c r="AE23" s="6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0</v>
      </c>
      <c r="AL23" s="6">
        <v>0</v>
      </c>
      <c r="AM23" s="6">
        <v>0</v>
      </c>
      <c r="AN23" s="6">
        <v>0</v>
      </c>
      <c r="AO23" s="6">
        <v>0</v>
      </c>
      <c r="AP23" s="6">
        <v>0</v>
      </c>
      <c r="AQ23" s="6">
        <v>0</v>
      </c>
      <c r="AR23" s="6">
        <v>0</v>
      </c>
      <c r="AS23" s="6">
        <v>0</v>
      </c>
      <c r="AT23" s="6">
        <v>0</v>
      </c>
      <c r="AU23" s="6">
        <v>0</v>
      </c>
      <c r="AV23" s="6">
        <v>1.49275020365057</v>
      </c>
      <c r="AW23" s="6">
        <v>0</v>
      </c>
      <c r="AX23" s="6">
        <v>1.1376222576831201</v>
      </c>
      <c r="AY23" s="6">
        <v>0</v>
      </c>
      <c r="AZ23" s="6">
        <v>0</v>
      </c>
      <c r="BA23" s="6">
        <v>0</v>
      </c>
      <c r="BB23" s="6">
        <v>1.30031059711667</v>
      </c>
      <c r="BC23" s="6">
        <v>7.2765374880447098</v>
      </c>
    </row>
    <row r="24" spans="2:55" x14ac:dyDescent="0.25">
      <c r="B24" s="5">
        <v>10</v>
      </c>
      <c r="C24" s="5">
        <v>9</v>
      </c>
      <c r="D24" s="6">
        <v>0.114196270031966</v>
      </c>
      <c r="E24" s="6">
        <v>-0.48867352866923203</v>
      </c>
      <c r="F24" s="6">
        <v>-0.86322844515834296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-2.1152160882537401</v>
      </c>
      <c r="M24" s="6">
        <v>0</v>
      </c>
      <c r="N24" s="6">
        <v>-0.70590078612657403</v>
      </c>
      <c r="O24" s="6">
        <v>0</v>
      </c>
      <c r="P24" s="6">
        <v>0</v>
      </c>
      <c r="Q24" s="6">
        <v>0</v>
      </c>
      <c r="R24" s="6">
        <v>-1.3677281350197901</v>
      </c>
      <c r="S24" s="6">
        <v>0</v>
      </c>
      <c r="T24" s="6">
        <v>0</v>
      </c>
      <c r="U24" s="6">
        <v>0</v>
      </c>
      <c r="V24" s="6">
        <v>0</v>
      </c>
      <c r="W24" s="6">
        <v>0</v>
      </c>
      <c r="X24" s="6">
        <v>0</v>
      </c>
      <c r="Y24" s="6">
        <v>0</v>
      </c>
      <c r="Z24" s="6">
        <v>-1.59716632949582</v>
      </c>
      <c r="AA24" s="6">
        <v>0</v>
      </c>
      <c r="AB24" s="6">
        <v>0</v>
      </c>
      <c r="AC24" s="6">
        <v>-1.9201746082312201</v>
      </c>
      <c r="AD24" s="6">
        <v>0</v>
      </c>
      <c r="AE24" s="6">
        <v>0</v>
      </c>
      <c r="AF24" s="6">
        <v>0</v>
      </c>
      <c r="AG24" s="6">
        <v>0</v>
      </c>
      <c r="AH24" s="6">
        <v>0</v>
      </c>
      <c r="AI24" s="6">
        <v>0</v>
      </c>
      <c r="AJ24" s="6">
        <v>0</v>
      </c>
      <c r="AK24" s="6">
        <v>0</v>
      </c>
      <c r="AL24" s="6">
        <v>0</v>
      </c>
      <c r="AM24" s="6">
        <v>0</v>
      </c>
      <c r="AN24" s="6">
        <v>0</v>
      </c>
      <c r="AO24" s="6">
        <v>0</v>
      </c>
      <c r="AP24" s="6">
        <v>0</v>
      </c>
      <c r="AQ24" s="6">
        <v>0</v>
      </c>
      <c r="AR24" s="6">
        <v>0</v>
      </c>
      <c r="AS24" s="6">
        <v>0</v>
      </c>
      <c r="AT24" s="6">
        <v>0</v>
      </c>
      <c r="AU24" s="6">
        <v>0</v>
      </c>
      <c r="AV24" s="6">
        <v>1.25885622473324</v>
      </c>
      <c r="AW24" s="6">
        <v>0</v>
      </c>
      <c r="AX24" s="6">
        <v>1.0455416405309199</v>
      </c>
      <c r="AY24" s="6">
        <v>0</v>
      </c>
      <c r="AZ24" s="6">
        <v>0</v>
      </c>
      <c r="BA24" s="6">
        <v>0</v>
      </c>
      <c r="BB24" s="6">
        <v>0.98868035896879203</v>
      </c>
      <c r="BC24" s="6">
        <v>18.4926083691667</v>
      </c>
    </row>
    <row r="25" spans="2:55" x14ac:dyDescent="0.25">
      <c r="B25" s="5">
        <v>15</v>
      </c>
      <c r="C25" s="5">
        <v>0</v>
      </c>
      <c r="D25" s="6">
        <v>-0.18461358860965299</v>
      </c>
      <c r="E25" s="6">
        <v>-1.42053123474544</v>
      </c>
      <c r="F25" s="6">
        <v>-1.26852798388128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-1.64518745529014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-1.46011255604678</v>
      </c>
      <c r="S25" s="6">
        <v>-0.87974496670009905</v>
      </c>
      <c r="T25" s="6">
        <v>0</v>
      </c>
      <c r="U25" s="6">
        <v>0</v>
      </c>
      <c r="V25" s="6">
        <v>0</v>
      </c>
      <c r="W25" s="6">
        <v>0</v>
      </c>
      <c r="X25" s="6">
        <v>0</v>
      </c>
      <c r="Y25" s="6">
        <v>0</v>
      </c>
      <c r="Z25" s="6">
        <v>-1.3575560541596501</v>
      </c>
      <c r="AA25" s="6">
        <v>0</v>
      </c>
      <c r="AB25" s="6">
        <v>0</v>
      </c>
      <c r="AC25" s="6">
        <v>-1.04516065277881</v>
      </c>
      <c r="AD25" s="6">
        <v>0.80097398972386202</v>
      </c>
      <c r="AE25" s="6">
        <v>0.530112328913388</v>
      </c>
      <c r="AF25" s="6">
        <v>0</v>
      </c>
      <c r="AG25" s="6">
        <v>0</v>
      </c>
      <c r="AH25" s="6">
        <v>-0.39950981049559398</v>
      </c>
      <c r="AI25" s="6">
        <v>0</v>
      </c>
      <c r="AJ25" s="6">
        <v>0</v>
      </c>
      <c r="AK25" s="6">
        <v>0</v>
      </c>
      <c r="AL25" s="6">
        <v>0</v>
      </c>
      <c r="AM25" s="6">
        <v>0</v>
      </c>
      <c r="AN25" s="6">
        <v>0</v>
      </c>
      <c r="AO25" s="6">
        <v>0</v>
      </c>
      <c r="AP25" s="6">
        <v>0</v>
      </c>
      <c r="AQ25" s="6">
        <v>0</v>
      </c>
      <c r="AR25" s="6">
        <v>0</v>
      </c>
      <c r="AS25" s="6">
        <v>0</v>
      </c>
      <c r="AT25" s="6">
        <v>-0.68060755874933998</v>
      </c>
      <c r="AU25" s="6">
        <v>0.69204371031549905</v>
      </c>
      <c r="AV25" s="6">
        <v>0</v>
      </c>
      <c r="AW25" s="6">
        <v>0</v>
      </c>
      <c r="AX25" s="6">
        <v>0.92513941778347597</v>
      </c>
      <c r="AY25" s="6">
        <v>-1.4964874994815001</v>
      </c>
      <c r="AZ25" s="6">
        <v>0</v>
      </c>
      <c r="BA25" s="6">
        <v>0</v>
      </c>
      <c r="BB25" s="6">
        <v>0.68742407143520701</v>
      </c>
      <c r="BC25" s="6">
        <v>16.271964519514501</v>
      </c>
    </row>
    <row r="26" spans="2:55" x14ac:dyDescent="0.25">
      <c r="B26" s="5">
        <v>15</v>
      </c>
      <c r="C26" s="5">
        <v>1</v>
      </c>
      <c r="D26" s="6">
        <v>0.24696082639209699</v>
      </c>
      <c r="E26" s="6">
        <v>0</v>
      </c>
      <c r="F26" s="6">
        <v>-0.47850527400256199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-2.1363731584773298</v>
      </c>
      <c r="M26" s="6">
        <v>-1.1805307451109099</v>
      </c>
      <c r="N26" s="6">
        <v>-0.91280729909068203</v>
      </c>
      <c r="O26" s="6">
        <v>0</v>
      </c>
      <c r="P26" s="6">
        <v>0</v>
      </c>
      <c r="Q26" s="6">
        <v>0.27673574745948099</v>
      </c>
      <c r="R26" s="6">
        <v>-0.93741522217913797</v>
      </c>
      <c r="S26" s="6">
        <v>0</v>
      </c>
      <c r="T26" s="6">
        <v>0</v>
      </c>
      <c r="U26" s="6">
        <v>0</v>
      </c>
      <c r="V26" s="6">
        <v>0</v>
      </c>
      <c r="W26" s="6">
        <v>1.0300761322812899</v>
      </c>
      <c r="X26" s="6">
        <v>0</v>
      </c>
      <c r="Y26" s="6">
        <v>0</v>
      </c>
      <c r="Z26" s="6">
        <v>-1.3619876363916099</v>
      </c>
      <c r="AA26" s="6">
        <v>0.65864187753827097</v>
      </c>
      <c r="AB26" s="6">
        <v>0</v>
      </c>
      <c r="AC26" s="6">
        <v>-2.4609313551569101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-0.982610551634584</v>
      </c>
      <c r="AQ26" s="6">
        <v>0</v>
      </c>
      <c r="AR26" s="6">
        <v>0</v>
      </c>
      <c r="AS26" s="6">
        <v>0</v>
      </c>
      <c r="AT26" s="6">
        <v>0</v>
      </c>
      <c r="AU26" s="6">
        <v>0</v>
      </c>
      <c r="AV26" s="6">
        <v>1.44335191484831</v>
      </c>
      <c r="AW26" s="6">
        <v>-0.711076049305985</v>
      </c>
      <c r="AX26" s="6">
        <v>1.42707884572673</v>
      </c>
      <c r="AY26" s="6">
        <v>0</v>
      </c>
      <c r="AZ26" s="6">
        <v>0</v>
      </c>
      <c r="BA26" s="6">
        <v>0</v>
      </c>
      <c r="BB26" s="6">
        <v>1.5116816194034399</v>
      </c>
      <c r="BC26" s="6">
        <v>38.511100706036103</v>
      </c>
    </row>
    <row r="27" spans="2:55" x14ac:dyDescent="0.25">
      <c r="B27" s="5">
        <v>15</v>
      </c>
      <c r="C27" s="5">
        <v>2</v>
      </c>
      <c r="D27" s="6">
        <v>-0.26643311000470499</v>
      </c>
      <c r="E27" s="6">
        <v>0</v>
      </c>
      <c r="F27" s="6">
        <v>-0.58345346380755503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-2.49971869638438</v>
      </c>
      <c r="M27" s="6">
        <v>-0.62929377059588498</v>
      </c>
      <c r="N27" s="6">
        <v>-0.81562118995591903</v>
      </c>
      <c r="O27" s="6">
        <v>0</v>
      </c>
      <c r="P27" s="6">
        <v>0</v>
      </c>
      <c r="Q27" s="6">
        <v>0</v>
      </c>
      <c r="R27" s="6">
        <v>-0.94525116398410602</v>
      </c>
      <c r="S27" s="6">
        <v>0</v>
      </c>
      <c r="T27" s="6">
        <v>0</v>
      </c>
      <c r="U27" s="6">
        <v>0</v>
      </c>
      <c r="V27" s="6">
        <v>0</v>
      </c>
      <c r="W27" s="6">
        <v>0</v>
      </c>
      <c r="X27" s="6">
        <v>0</v>
      </c>
      <c r="Y27" s="6">
        <v>0</v>
      </c>
      <c r="Z27" s="6">
        <v>-2.09711417560418</v>
      </c>
      <c r="AA27" s="6">
        <v>0</v>
      </c>
      <c r="AB27" s="6">
        <v>-0.83521437123743203</v>
      </c>
      <c r="AC27" s="6">
        <v>-2.2366554607156699</v>
      </c>
      <c r="AD27" s="6">
        <v>0</v>
      </c>
      <c r="AE27" s="6">
        <v>0</v>
      </c>
      <c r="AF27" s="6">
        <v>0</v>
      </c>
      <c r="AG27" s="6">
        <v>0</v>
      </c>
      <c r="AH27" s="6">
        <v>0</v>
      </c>
      <c r="AI27" s="6">
        <v>0</v>
      </c>
      <c r="AJ27" s="6">
        <v>0.75132228631123099</v>
      </c>
      <c r="AK27" s="6">
        <v>0</v>
      </c>
      <c r="AL27" s="6">
        <v>-0.412618800524094</v>
      </c>
      <c r="AM27" s="6">
        <v>0</v>
      </c>
      <c r="AN27" s="6">
        <v>0</v>
      </c>
      <c r="AO27" s="6">
        <v>0</v>
      </c>
      <c r="AP27" s="6">
        <v>0</v>
      </c>
      <c r="AQ27" s="6">
        <v>0</v>
      </c>
      <c r="AR27" s="6">
        <v>0</v>
      </c>
      <c r="AS27" s="6">
        <v>0</v>
      </c>
      <c r="AT27" s="6">
        <v>0</v>
      </c>
      <c r="AU27" s="6">
        <v>1.0427682450131801</v>
      </c>
      <c r="AV27" s="6">
        <v>1.6464802710947299</v>
      </c>
      <c r="AW27" s="6">
        <v>0</v>
      </c>
      <c r="AX27" s="6">
        <v>1.8271808196103301</v>
      </c>
      <c r="AY27" s="6">
        <v>0</v>
      </c>
      <c r="AZ27" s="6">
        <v>0.55558897125722895</v>
      </c>
      <c r="BA27" s="6">
        <v>0</v>
      </c>
      <c r="BB27" s="6">
        <v>0.97907868764413897</v>
      </c>
      <c r="BC27" s="6">
        <v>16.786538540433298</v>
      </c>
    </row>
    <row r="28" spans="2:55" x14ac:dyDescent="0.25">
      <c r="B28" s="5">
        <v>15</v>
      </c>
      <c r="C28" s="5">
        <v>3</v>
      </c>
      <c r="D28" s="6">
        <v>0.111397156764453</v>
      </c>
      <c r="E28" s="6">
        <v>-0.45816658204038602</v>
      </c>
      <c r="F28" s="6">
        <v>-0.98671009827356704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-1.9077880627594199</v>
      </c>
      <c r="M28" s="6">
        <v>-0.51254229779670701</v>
      </c>
      <c r="N28" s="6">
        <v>-0.955726036765146</v>
      </c>
      <c r="O28" s="6">
        <v>0</v>
      </c>
      <c r="P28" s="6">
        <v>0</v>
      </c>
      <c r="Q28" s="6">
        <v>0</v>
      </c>
      <c r="R28" s="6">
        <v>-1.21158915675065</v>
      </c>
      <c r="S28" s="6">
        <v>-0.62565611804152799</v>
      </c>
      <c r="T28" s="6">
        <v>0</v>
      </c>
      <c r="U28" s="6">
        <v>0</v>
      </c>
      <c r="V28" s="6">
        <v>0</v>
      </c>
      <c r="W28" s="6">
        <v>0.71194195792371895</v>
      </c>
      <c r="X28" s="6">
        <v>0</v>
      </c>
      <c r="Y28" s="6">
        <v>0.40265604918703402</v>
      </c>
      <c r="Z28" s="6">
        <v>-1.30939728792861</v>
      </c>
      <c r="AA28" s="6">
        <v>0</v>
      </c>
      <c r="AB28" s="6">
        <v>0</v>
      </c>
      <c r="AC28" s="6">
        <v>-1.8549999473502701</v>
      </c>
      <c r="AD28" s="6">
        <v>0</v>
      </c>
      <c r="AE28" s="6">
        <v>0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6">
        <v>0</v>
      </c>
      <c r="AM28" s="6">
        <v>0</v>
      </c>
      <c r="AN28" s="6">
        <v>0</v>
      </c>
      <c r="AO28" s="6">
        <v>0</v>
      </c>
      <c r="AP28" s="6">
        <v>0</v>
      </c>
      <c r="AQ28" s="6">
        <v>0</v>
      </c>
      <c r="AR28" s="6">
        <v>0</v>
      </c>
      <c r="AS28" s="6">
        <v>0</v>
      </c>
      <c r="AT28" s="6">
        <v>0</v>
      </c>
      <c r="AU28" s="6">
        <v>0</v>
      </c>
      <c r="AV28" s="6">
        <v>0.88346522468036204</v>
      </c>
      <c r="AW28" s="6">
        <v>0</v>
      </c>
      <c r="AX28" s="6">
        <v>1.2914103123160099</v>
      </c>
      <c r="AY28" s="6">
        <v>-1.07770084284571</v>
      </c>
      <c r="AZ28" s="6">
        <v>0</v>
      </c>
      <c r="BA28" s="6">
        <v>0</v>
      </c>
      <c r="BB28" s="6">
        <v>1.0490950749697801</v>
      </c>
      <c r="BC28" s="6">
        <v>28.5235999600356</v>
      </c>
    </row>
    <row r="29" spans="2:55" x14ac:dyDescent="0.25">
      <c r="B29" s="5">
        <v>15</v>
      </c>
      <c r="C29" s="5">
        <v>4</v>
      </c>
      <c r="D29" s="6">
        <v>0.10578676175483</v>
      </c>
      <c r="E29" s="6">
        <v>0</v>
      </c>
      <c r="F29" s="6">
        <v>-0.69033958556095398</v>
      </c>
      <c r="G29" s="6">
        <v>0</v>
      </c>
      <c r="H29" s="6">
        <v>-0.65901005112609101</v>
      </c>
      <c r="I29" s="6">
        <v>0</v>
      </c>
      <c r="J29" s="6">
        <v>0</v>
      </c>
      <c r="K29" s="6">
        <v>0</v>
      </c>
      <c r="L29" s="6">
        <v>-1.72527361522318</v>
      </c>
      <c r="M29" s="6">
        <v>-0.80154130550523905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-0.62419420821927096</v>
      </c>
      <c r="T29" s="6">
        <v>0</v>
      </c>
      <c r="U29" s="6">
        <v>0</v>
      </c>
      <c r="V29" s="6">
        <v>0</v>
      </c>
      <c r="W29" s="6">
        <v>0</v>
      </c>
      <c r="X29" s="6">
        <v>0</v>
      </c>
      <c r="Y29" s="6">
        <v>0</v>
      </c>
      <c r="Z29" s="6">
        <v>-1.4794146452777599</v>
      </c>
      <c r="AA29" s="6">
        <v>0</v>
      </c>
      <c r="AB29" s="6">
        <v>0</v>
      </c>
      <c r="AC29" s="6">
        <v>-1.8009808031293699</v>
      </c>
      <c r="AD29" s="6">
        <v>0.83863476252060298</v>
      </c>
      <c r="AE29" s="6">
        <v>0</v>
      </c>
      <c r="AF29" s="6">
        <v>0</v>
      </c>
      <c r="AG29" s="6">
        <v>0.65866637894250402</v>
      </c>
      <c r="AH29" s="6">
        <v>0</v>
      </c>
      <c r="AI29" s="6">
        <v>-0.69784590376611899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6">
        <v>0</v>
      </c>
      <c r="AP29" s="6">
        <v>-1.10340092323488</v>
      </c>
      <c r="AQ29" s="6">
        <v>0</v>
      </c>
      <c r="AR29" s="6">
        <v>0</v>
      </c>
      <c r="AS29" s="6">
        <v>0</v>
      </c>
      <c r="AT29" s="6">
        <v>0</v>
      </c>
      <c r="AU29" s="6">
        <v>0</v>
      </c>
      <c r="AV29" s="6">
        <v>1.0739046253509701</v>
      </c>
      <c r="AW29" s="6">
        <v>0</v>
      </c>
      <c r="AX29" s="6">
        <v>1.02394058318377</v>
      </c>
      <c r="AY29" s="6">
        <v>-1.0853555721396599</v>
      </c>
      <c r="AZ29" s="6">
        <v>0</v>
      </c>
      <c r="BA29" s="6">
        <v>0</v>
      </c>
      <c r="BB29" s="6">
        <v>0.77680334504135695</v>
      </c>
      <c r="BC29" s="6">
        <v>34.511405439847401</v>
      </c>
    </row>
    <row r="30" spans="2:55" x14ac:dyDescent="0.25">
      <c r="B30" s="5">
        <v>15</v>
      </c>
      <c r="C30" s="5">
        <v>5</v>
      </c>
      <c r="D30" s="6">
        <v>-0.60011040330922705</v>
      </c>
      <c r="E30" s="6">
        <v>-2.1667785639097001</v>
      </c>
      <c r="F30" s="6">
        <v>-1.24160236531882</v>
      </c>
      <c r="G30" s="6">
        <v>0</v>
      </c>
      <c r="H30" s="6">
        <v>0</v>
      </c>
      <c r="I30" s="6">
        <v>0</v>
      </c>
      <c r="J30" s="6">
        <v>0</v>
      </c>
      <c r="K30" s="6">
        <v>0.73435964992018599</v>
      </c>
      <c r="L30" s="6">
        <v>-1.38292668726768</v>
      </c>
      <c r="M30" s="6">
        <v>0</v>
      </c>
      <c r="N30" s="6">
        <v>-1.80211817342696</v>
      </c>
      <c r="O30" s="6">
        <v>0</v>
      </c>
      <c r="P30" s="6">
        <v>0</v>
      </c>
      <c r="Q30" s="6">
        <v>0</v>
      </c>
      <c r="R30" s="6">
        <v>-3.0266675730318502</v>
      </c>
      <c r="S30" s="6">
        <v>-0.73121315825903899</v>
      </c>
      <c r="T30" s="6">
        <v>-1.51474144516678</v>
      </c>
      <c r="U30" s="6">
        <v>0</v>
      </c>
      <c r="V30" s="6">
        <v>0</v>
      </c>
      <c r="W30" s="6">
        <v>0</v>
      </c>
      <c r="X30" s="6">
        <v>0</v>
      </c>
      <c r="Y30" s="6">
        <v>0</v>
      </c>
      <c r="Z30" s="6">
        <v>0</v>
      </c>
      <c r="AA30" s="6">
        <v>0</v>
      </c>
      <c r="AB30" s="6">
        <v>0</v>
      </c>
      <c r="AC30" s="6">
        <v>0</v>
      </c>
      <c r="AD30" s="6">
        <v>0</v>
      </c>
      <c r="AE30" s="6">
        <v>0</v>
      </c>
      <c r="AF30" s="6">
        <v>0</v>
      </c>
      <c r="AG30" s="6">
        <v>-0.97079903315868898</v>
      </c>
      <c r="AH30" s="6">
        <v>-1.4714809494066601</v>
      </c>
      <c r="AI30" s="6">
        <v>0.43995186291170302</v>
      </c>
      <c r="AJ30" s="6">
        <v>0</v>
      </c>
      <c r="AK30" s="6">
        <v>0</v>
      </c>
      <c r="AL30" s="6">
        <v>0</v>
      </c>
      <c r="AM30" s="6">
        <v>0</v>
      </c>
      <c r="AN30" s="6">
        <v>0</v>
      </c>
      <c r="AO30" s="6">
        <v>0.61665224587062495</v>
      </c>
      <c r="AP30" s="6">
        <v>0</v>
      </c>
      <c r="AQ30" s="6">
        <v>0</v>
      </c>
      <c r="AR30" s="6">
        <v>0</v>
      </c>
      <c r="AS30" s="6">
        <v>0</v>
      </c>
      <c r="AT30" s="6">
        <v>-1.62344300257218</v>
      </c>
      <c r="AU30" s="6">
        <v>0.99638362897060195</v>
      </c>
      <c r="AV30" s="6">
        <v>0</v>
      </c>
      <c r="AW30" s="6">
        <v>0</v>
      </c>
      <c r="AX30" s="6">
        <v>0</v>
      </c>
      <c r="AY30" s="6">
        <v>-1.1448699493105099</v>
      </c>
      <c r="AZ30" s="6">
        <v>0</v>
      </c>
      <c r="BA30" s="6">
        <v>0</v>
      </c>
      <c r="BB30" s="6">
        <v>0</v>
      </c>
      <c r="BC30" s="6">
        <v>96.343281649076403</v>
      </c>
    </row>
    <row r="31" spans="2:55" x14ac:dyDescent="0.25">
      <c r="B31" s="5">
        <v>15</v>
      </c>
      <c r="C31" s="5">
        <v>6</v>
      </c>
      <c r="D31" s="6">
        <v>-9.3906922515561098E-2</v>
      </c>
      <c r="E31" s="6">
        <v>-1.4074008251971599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-1.54891810133523</v>
      </c>
      <c r="M31" s="6">
        <v>0</v>
      </c>
      <c r="N31" s="6">
        <v>0</v>
      </c>
      <c r="O31" s="6">
        <v>0</v>
      </c>
      <c r="P31" s="6">
        <v>0</v>
      </c>
      <c r="Q31" s="6">
        <v>0.67179125652531402</v>
      </c>
      <c r="R31" s="6">
        <v>-2.0351935655970999</v>
      </c>
      <c r="S31" s="6">
        <v>0</v>
      </c>
      <c r="T31" s="6">
        <v>0</v>
      </c>
      <c r="U31" s="6">
        <v>0</v>
      </c>
      <c r="V31" s="6">
        <v>0</v>
      </c>
      <c r="W31" s="6">
        <v>0</v>
      </c>
      <c r="X31" s="6">
        <v>0</v>
      </c>
      <c r="Y31" s="6">
        <v>0.88190863059406199</v>
      </c>
      <c r="Z31" s="6">
        <v>0</v>
      </c>
      <c r="AA31" s="6">
        <v>1.28720727980228</v>
      </c>
      <c r="AB31" s="6">
        <v>0</v>
      </c>
      <c r="AC31" s="6">
        <v>0</v>
      </c>
      <c r="AD31" s="6">
        <v>2.3297348238775699</v>
      </c>
      <c r="AE31" s="6">
        <v>0</v>
      </c>
      <c r="AF31" s="6">
        <v>0</v>
      </c>
      <c r="AG31" s="6">
        <v>0</v>
      </c>
      <c r="AH31" s="6">
        <v>0</v>
      </c>
      <c r="AI31" s="6">
        <v>0</v>
      </c>
      <c r="AJ31" s="6">
        <v>0</v>
      </c>
      <c r="AK31" s="6">
        <v>1.42767427666514</v>
      </c>
      <c r="AL31" s="6">
        <v>0</v>
      </c>
      <c r="AM31" s="6">
        <v>0</v>
      </c>
      <c r="AN31" s="6">
        <v>-1.3245883452073199</v>
      </c>
      <c r="AO31" s="6">
        <v>0</v>
      </c>
      <c r="AP31" s="6">
        <v>0</v>
      </c>
      <c r="AQ31" s="6">
        <v>0</v>
      </c>
      <c r="AR31" s="6">
        <v>1.04470659455976</v>
      </c>
      <c r="AS31" s="6">
        <v>1.77357033708891</v>
      </c>
      <c r="AT31" s="6">
        <v>-2.13136693244557</v>
      </c>
      <c r="AU31" s="6">
        <v>1.1014700210602399</v>
      </c>
      <c r="AV31" s="6">
        <v>0</v>
      </c>
      <c r="AW31" s="6">
        <v>0</v>
      </c>
      <c r="AX31" s="6">
        <v>0</v>
      </c>
      <c r="AY31" s="6">
        <v>-1.9615536759654399</v>
      </c>
      <c r="AZ31" s="6">
        <v>0</v>
      </c>
      <c r="BA31" s="6">
        <v>0</v>
      </c>
      <c r="BB31" s="6">
        <v>0.98354953153199598</v>
      </c>
      <c r="BC31" s="6">
        <v>57.870385710847998</v>
      </c>
    </row>
    <row r="32" spans="2:55" x14ac:dyDescent="0.25">
      <c r="B32" s="5">
        <v>15</v>
      </c>
      <c r="C32" s="5">
        <v>7</v>
      </c>
      <c r="D32" s="6">
        <v>-0.27780219763976099</v>
      </c>
      <c r="E32" s="6">
        <v>-1.18313636484712</v>
      </c>
      <c r="F32" s="6">
        <v>-1.20412714966678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-1.9302470889614101</v>
      </c>
      <c r="M32" s="6">
        <v>0</v>
      </c>
      <c r="N32" s="6">
        <v>-0.63293876082443901</v>
      </c>
      <c r="O32" s="6">
        <v>0</v>
      </c>
      <c r="P32" s="6">
        <v>0</v>
      </c>
      <c r="Q32" s="6">
        <v>0</v>
      </c>
      <c r="R32" s="6">
        <v>-1.3111245238945901</v>
      </c>
      <c r="S32" s="6">
        <v>-0.80965821757099299</v>
      </c>
      <c r="T32" s="6">
        <v>0</v>
      </c>
      <c r="U32" s="6">
        <v>0</v>
      </c>
      <c r="V32" s="6">
        <v>0</v>
      </c>
      <c r="W32" s="6">
        <v>0</v>
      </c>
      <c r="X32" s="6">
        <v>0</v>
      </c>
      <c r="Y32" s="6">
        <v>0</v>
      </c>
      <c r="Z32" s="6">
        <v>-1.1829004199502899</v>
      </c>
      <c r="AA32" s="6">
        <v>0</v>
      </c>
      <c r="AB32" s="6">
        <v>0</v>
      </c>
      <c r="AC32" s="6">
        <v>-0.97075925694518805</v>
      </c>
      <c r="AD32" s="6">
        <v>0.55849081792512301</v>
      </c>
      <c r="AE32" s="6">
        <v>0</v>
      </c>
      <c r="AF32" s="6">
        <v>0</v>
      </c>
      <c r="AG32" s="6">
        <v>0</v>
      </c>
      <c r="AH32" s="6">
        <v>0</v>
      </c>
      <c r="AI32" s="6">
        <v>0</v>
      </c>
      <c r="AJ32" s="6">
        <v>0</v>
      </c>
      <c r="AK32" s="6">
        <v>0</v>
      </c>
      <c r="AL32" s="6">
        <v>0</v>
      </c>
      <c r="AM32" s="6">
        <v>0</v>
      </c>
      <c r="AN32" s="6">
        <v>0</v>
      </c>
      <c r="AO32" s="6">
        <v>0</v>
      </c>
      <c r="AP32" s="6">
        <v>0</v>
      </c>
      <c r="AQ32" s="6">
        <v>0</v>
      </c>
      <c r="AR32" s="6">
        <v>0</v>
      </c>
      <c r="AS32" s="6">
        <v>0</v>
      </c>
      <c r="AT32" s="6">
        <v>-0.69775930759388705</v>
      </c>
      <c r="AU32" s="6">
        <v>0.56791326367045303</v>
      </c>
      <c r="AV32" s="6">
        <v>0.66221940833089898</v>
      </c>
      <c r="AW32" s="6">
        <v>0</v>
      </c>
      <c r="AX32" s="6">
        <v>1.25206162791293</v>
      </c>
      <c r="AY32" s="6">
        <v>-0.94503425296551702</v>
      </c>
      <c r="AZ32" s="6">
        <v>0</v>
      </c>
      <c r="BA32" s="6">
        <v>0</v>
      </c>
      <c r="BB32" s="6">
        <v>0.86744476934779502</v>
      </c>
      <c r="BC32" s="6">
        <v>12.8062767360348</v>
      </c>
    </row>
    <row r="33" spans="2:55" x14ac:dyDescent="0.25">
      <c r="B33" s="5">
        <v>15</v>
      </c>
      <c r="C33" s="5">
        <v>8</v>
      </c>
      <c r="D33" s="6">
        <v>0.68519734869016302</v>
      </c>
      <c r="E33" s="6">
        <v>0</v>
      </c>
      <c r="F33" s="6">
        <v>0</v>
      </c>
      <c r="G33" s="6">
        <v>0</v>
      </c>
      <c r="H33" s="6">
        <v>-0.79803801738277202</v>
      </c>
      <c r="I33" s="6">
        <v>-0.766244675826662</v>
      </c>
      <c r="J33" s="6">
        <v>0</v>
      </c>
      <c r="K33" s="6">
        <v>0</v>
      </c>
      <c r="L33" s="6">
        <v>-3.1858757041332799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0.82703249775123699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-1.7824483888366001</v>
      </c>
      <c r="AD33" s="6">
        <v>0</v>
      </c>
      <c r="AE33" s="6">
        <v>0</v>
      </c>
      <c r="AF33" s="6">
        <v>0</v>
      </c>
      <c r="AG33" s="6">
        <v>1.7609603968970999</v>
      </c>
      <c r="AH33" s="6">
        <v>-1.1790855243528</v>
      </c>
      <c r="AI33" s="6">
        <v>0</v>
      </c>
      <c r="AJ33" s="6">
        <v>0</v>
      </c>
      <c r="AK33" s="6">
        <v>1.3260320457375101</v>
      </c>
      <c r="AL33" s="6">
        <v>-1.7758142063439899</v>
      </c>
      <c r="AM33" s="6">
        <v>0</v>
      </c>
      <c r="AN33" s="6">
        <v>0</v>
      </c>
      <c r="AO33" s="6">
        <v>0</v>
      </c>
      <c r="AP33" s="6">
        <v>-2.8365916155605402</v>
      </c>
      <c r="AQ33" s="6">
        <v>0</v>
      </c>
      <c r="AR33" s="6">
        <v>0</v>
      </c>
      <c r="AS33" s="6">
        <v>0</v>
      </c>
      <c r="AT33" s="6">
        <v>0</v>
      </c>
      <c r="AU33" s="6">
        <v>1.0982935624330099</v>
      </c>
      <c r="AV33" s="6">
        <v>2.2097397434811601</v>
      </c>
      <c r="AW33" s="6">
        <v>0</v>
      </c>
      <c r="AX33" s="6">
        <v>2.1527874007934198</v>
      </c>
      <c r="AY33" s="6">
        <v>-1.5854308387385501</v>
      </c>
      <c r="AZ33" s="6">
        <v>0</v>
      </c>
      <c r="BA33" s="6">
        <v>0</v>
      </c>
      <c r="BB33" s="6">
        <v>1.0482721265382999</v>
      </c>
      <c r="BC33" s="6">
        <v>56.784700982161397</v>
      </c>
    </row>
    <row r="34" spans="2:55" x14ac:dyDescent="0.25">
      <c r="B34" s="5">
        <v>15</v>
      </c>
      <c r="C34" s="5">
        <v>9</v>
      </c>
      <c r="D34" s="6">
        <v>-0.137345014494063</v>
      </c>
      <c r="E34" s="6">
        <v>-1.12960720632392</v>
      </c>
      <c r="F34" s="6">
        <v>-1.0949403038807699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-1.9132938938247099</v>
      </c>
      <c r="M34" s="6">
        <v>0</v>
      </c>
      <c r="N34" s="6">
        <v>-0.64830390664683102</v>
      </c>
      <c r="O34" s="6">
        <v>0</v>
      </c>
      <c r="P34" s="6">
        <v>0</v>
      </c>
      <c r="Q34" s="6">
        <v>0</v>
      </c>
      <c r="R34" s="6">
        <v>-1.4422743591181699</v>
      </c>
      <c r="S34" s="6">
        <v>-0.636024466536248</v>
      </c>
      <c r="T34" s="6">
        <v>0</v>
      </c>
      <c r="U34" s="6">
        <v>0</v>
      </c>
      <c r="V34" s="6">
        <v>0</v>
      </c>
      <c r="W34" s="6">
        <v>0</v>
      </c>
      <c r="X34" s="6">
        <v>0</v>
      </c>
      <c r="Y34" s="6">
        <v>0</v>
      </c>
      <c r="Z34" s="6">
        <v>-1.3596134906783699</v>
      </c>
      <c r="AA34" s="6">
        <v>0</v>
      </c>
      <c r="AB34" s="6">
        <v>0</v>
      </c>
      <c r="AC34" s="6">
        <v>-1.3172258780164401</v>
      </c>
      <c r="AD34" s="6">
        <v>0.40485833086606499</v>
      </c>
      <c r="AE34" s="6">
        <v>0</v>
      </c>
      <c r="AF34" s="6">
        <v>0</v>
      </c>
      <c r="AG34" s="6">
        <v>0</v>
      </c>
      <c r="AH34" s="6">
        <v>0</v>
      </c>
      <c r="AI34" s="6">
        <v>0</v>
      </c>
      <c r="AJ34" s="6">
        <v>0</v>
      </c>
      <c r="AK34" s="6">
        <v>0</v>
      </c>
      <c r="AL34" s="6">
        <v>0</v>
      </c>
      <c r="AM34" s="6">
        <v>0</v>
      </c>
      <c r="AN34" s="6">
        <v>0</v>
      </c>
      <c r="AO34" s="6">
        <v>0</v>
      </c>
      <c r="AP34" s="6">
        <v>0</v>
      </c>
      <c r="AQ34" s="6">
        <v>0</v>
      </c>
      <c r="AR34" s="6">
        <v>0</v>
      </c>
      <c r="AS34" s="6">
        <v>0</v>
      </c>
      <c r="AT34" s="6">
        <v>-0.40965644376587101</v>
      </c>
      <c r="AU34" s="6">
        <v>0.49882307632680201</v>
      </c>
      <c r="AV34" s="6">
        <v>0.66457702304931598</v>
      </c>
      <c r="AW34" s="6">
        <v>0</v>
      </c>
      <c r="AX34" s="6">
        <v>1.1463309350286599</v>
      </c>
      <c r="AY34" s="6">
        <v>-0.77767066332871704</v>
      </c>
      <c r="AZ34" s="6">
        <v>0</v>
      </c>
      <c r="BA34" s="6">
        <v>0</v>
      </c>
      <c r="BB34" s="6">
        <v>0.80352958996253998</v>
      </c>
      <c r="BC34" s="6">
        <v>8.14509956968495</v>
      </c>
    </row>
    <row r="35" spans="2:55" x14ac:dyDescent="0.25">
      <c r="B35" s="5">
        <v>20</v>
      </c>
      <c r="C35" s="5">
        <v>0</v>
      </c>
      <c r="D35" s="6">
        <v>1.1654938607688199</v>
      </c>
      <c r="E35" s="6">
        <v>-0.67989018413342805</v>
      </c>
      <c r="F35" s="6">
        <v>-0.451339100607065</v>
      </c>
      <c r="G35" s="6">
        <v>0</v>
      </c>
      <c r="H35" s="6">
        <v>-0.76099693546990699</v>
      </c>
      <c r="I35" s="6">
        <v>0</v>
      </c>
      <c r="J35" s="6">
        <v>0</v>
      </c>
      <c r="K35" s="6">
        <v>0</v>
      </c>
      <c r="L35" s="6">
        <v>-1.2509549965186599</v>
      </c>
      <c r="M35" s="6">
        <v>0</v>
      </c>
      <c r="N35" s="6">
        <v>1.2467120986709199</v>
      </c>
      <c r="O35" s="6">
        <v>0</v>
      </c>
      <c r="P35" s="6">
        <v>0</v>
      </c>
      <c r="Q35" s="6">
        <v>0</v>
      </c>
      <c r="R35" s="6">
        <v>0</v>
      </c>
      <c r="S35" s="6">
        <v>-0.86339576244934102</v>
      </c>
      <c r="T35" s="6">
        <v>0</v>
      </c>
      <c r="U35" s="6">
        <v>0</v>
      </c>
      <c r="V35" s="6">
        <v>0</v>
      </c>
      <c r="W35" s="6">
        <v>0</v>
      </c>
      <c r="X35" s="6">
        <v>0</v>
      </c>
      <c r="Y35" s="6">
        <v>0.91019099482264398</v>
      </c>
      <c r="Z35" s="6">
        <v>-2.58477778103651</v>
      </c>
      <c r="AA35" s="6">
        <v>1.1280900024492599</v>
      </c>
      <c r="AB35" s="6">
        <v>0</v>
      </c>
      <c r="AC35" s="6">
        <v>0</v>
      </c>
      <c r="AD35" s="6">
        <v>1.90492327300285</v>
      </c>
      <c r="AE35" s="6">
        <v>1.4932263044791001</v>
      </c>
      <c r="AF35" s="6">
        <v>0.53407061959484503</v>
      </c>
      <c r="AG35" s="6">
        <v>1.06694847336156</v>
      </c>
      <c r="AH35" s="6">
        <v>0</v>
      </c>
      <c r="AI35" s="6">
        <v>-1.313807227159</v>
      </c>
      <c r="AJ35" s="6">
        <v>0</v>
      </c>
      <c r="AK35" s="6">
        <v>1.3932541209181</v>
      </c>
      <c r="AL35" s="6">
        <v>0</v>
      </c>
      <c r="AM35" s="6">
        <v>0</v>
      </c>
      <c r="AN35" s="6">
        <v>0</v>
      </c>
      <c r="AO35" s="6">
        <v>0</v>
      </c>
      <c r="AP35" s="6">
        <v>0</v>
      </c>
      <c r="AQ35" s="6">
        <v>0.74655027790518003</v>
      </c>
      <c r="AR35" s="6">
        <v>0.91212066679937398</v>
      </c>
      <c r="AS35" s="6">
        <v>0</v>
      </c>
      <c r="AT35" s="6">
        <v>0</v>
      </c>
      <c r="AU35" s="6">
        <v>1.4472323523485899</v>
      </c>
      <c r="AV35" s="6">
        <v>0</v>
      </c>
      <c r="AW35" s="6">
        <v>0</v>
      </c>
      <c r="AX35" s="6">
        <v>0</v>
      </c>
      <c r="AY35" s="6">
        <v>-2.55476007492843</v>
      </c>
      <c r="AZ35" s="6">
        <v>-0.43806596821054999</v>
      </c>
      <c r="BA35" s="6">
        <v>0</v>
      </c>
      <c r="BB35" s="6">
        <v>0</v>
      </c>
      <c r="BC35" s="6">
        <v>27.3814890774646</v>
      </c>
    </row>
    <row r="36" spans="2:55" x14ac:dyDescent="0.25">
      <c r="B36" s="5">
        <v>20</v>
      </c>
      <c r="C36" s="5">
        <v>1</v>
      </c>
      <c r="D36" s="6">
        <v>0.64241222027635803</v>
      </c>
      <c r="E36" s="6">
        <v>0</v>
      </c>
      <c r="F36" s="6">
        <v>0</v>
      </c>
      <c r="G36" s="6">
        <v>0.51709521092166</v>
      </c>
      <c r="H36" s="6">
        <v>-0.56299742831113198</v>
      </c>
      <c r="I36" s="6">
        <v>0</v>
      </c>
      <c r="J36" s="6">
        <v>0</v>
      </c>
      <c r="K36" s="6">
        <v>0</v>
      </c>
      <c r="L36" s="6">
        <v>-1.7493847478590201</v>
      </c>
      <c r="M36" s="6">
        <v>-1.1720020711291801</v>
      </c>
      <c r="N36" s="6">
        <v>0</v>
      </c>
      <c r="O36" s="6">
        <v>0</v>
      </c>
      <c r="P36" s="6">
        <v>0</v>
      </c>
      <c r="Q36" s="6">
        <v>0.83293300220434496</v>
      </c>
      <c r="R36" s="6">
        <v>-0.59050802832192295</v>
      </c>
      <c r="S36" s="6">
        <v>0</v>
      </c>
      <c r="T36" s="6">
        <v>0</v>
      </c>
      <c r="U36" s="6">
        <v>0</v>
      </c>
      <c r="V36" s="6">
        <v>0</v>
      </c>
      <c r="W36" s="6">
        <v>1.7599240249819701</v>
      </c>
      <c r="X36" s="6">
        <v>0.85560883409265698</v>
      </c>
      <c r="Y36" s="6">
        <v>0.82449982938641797</v>
      </c>
      <c r="Z36" s="6">
        <v>-2.1883735844718002</v>
      </c>
      <c r="AA36" s="6">
        <v>1.36321701721771</v>
      </c>
      <c r="AB36" s="6">
        <v>0</v>
      </c>
      <c r="AC36" s="6">
        <v>-1.4486636475493899</v>
      </c>
      <c r="AD36" s="6">
        <v>1.50480281595863</v>
      </c>
      <c r="AE36" s="6">
        <v>0</v>
      </c>
      <c r="AF36" s="6">
        <v>0.668871460665319</v>
      </c>
      <c r="AG36" s="6">
        <v>0</v>
      </c>
      <c r="AH36" s="6">
        <v>0</v>
      </c>
      <c r="AI36" s="6">
        <v>0</v>
      </c>
      <c r="AJ36" s="6">
        <v>0</v>
      </c>
      <c r="AK36" s="6">
        <v>1.17367288434381</v>
      </c>
      <c r="AL36" s="6">
        <v>0</v>
      </c>
      <c r="AM36" s="6">
        <v>0</v>
      </c>
      <c r="AN36" s="6">
        <v>0</v>
      </c>
      <c r="AO36" s="6">
        <v>0</v>
      </c>
      <c r="AP36" s="6">
        <v>-0.68567433352817797</v>
      </c>
      <c r="AQ36" s="6">
        <v>0</v>
      </c>
      <c r="AR36" s="6">
        <v>0</v>
      </c>
      <c r="AS36" s="6">
        <v>0</v>
      </c>
      <c r="AT36" s="6">
        <v>0</v>
      </c>
      <c r="AU36" s="6">
        <v>0</v>
      </c>
      <c r="AV36" s="6">
        <v>0.89734855515363299</v>
      </c>
      <c r="AW36" s="6">
        <v>0</v>
      </c>
      <c r="AX36" s="6">
        <v>0.64384359628091703</v>
      </c>
      <c r="AY36" s="6">
        <v>-0.93160984667250701</v>
      </c>
      <c r="AZ36" s="6">
        <v>0</v>
      </c>
      <c r="BA36" s="6">
        <v>0</v>
      </c>
      <c r="BB36" s="6">
        <v>1.10607102948448</v>
      </c>
      <c r="BC36" s="6">
        <v>40.2899847326714</v>
      </c>
    </row>
    <row r="37" spans="2:55" x14ac:dyDescent="0.25">
      <c r="B37" s="5">
        <v>20</v>
      </c>
      <c r="C37" s="5">
        <v>2</v>
      </c>
      <c r="D37" s="6">
        <v>0.483826869307309</v>
      </c>
      <c r="E37" s="6">
        <v>0</v>
      </c>
      <c r="F37" s="6">
        <v>0</v>
      </c>
      <c r="G37" s="6">
        <v>0</v>
      </c>
      <c r="H37" s="6">
        <v>0</v>
      </c>
      <c r="I37" s="6">
        <v>0.69876561236493095</v>
      </c>
      <c r="J37" s="6">
        <v>0.63489975724824599</v>
      </c>
      <c r="K37" s="6">
        <v>0</v>
      </c>
      <c r="L37" s="6">
        <v>-1.6429700897295501</v>
      </c>
      <c r="M37" s="6">
        <v>0</v>
      </c>
      <c r="N37" s="6">
        <v>1.2392629272182401</v>
      </c>
      <c r="O37" s="6">
        <v>0</v>
      </c>
      <c r="P37" s="6">
        <v>0</v>
      </c>
      <c r="Q37" s="6">
        <v>0.82430584807988805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0.71060853241548405</v>
      </c>
      <c r="Z37" s="6">
        <v>-2.64694347881714</v>
      </c>
      <c r="AA37" s="6">
        <v>1.9923020867596</v>
      </c>
      <c r="AB37" s="6">
        <v>0</v>
      </c>
      <c r="AC37" s="6">
        <v>-1.3315312492956299</v>
      </c>
      <c r="AD37" s="6">
        <v>2.6494775382157498</v>
      </c>
      <c r="AE37" s="6">
        <v>2.0576151866882699</v>
      </c>
      <c r="AF37" s="6">
        <v>0</v>
      </c>
      <c r="AG37" s="6">
        <v>0.78089380613821802</v>
      </c>
      <c r="AH37" s="6">
        <v>0</v>
      </c>
      <c r="AI37" s="6">
        <v>-0.58557068444669902</v>
      </c>
      <c r="AJ37" s="6">
        <v>0</v>
      </c>
      <c r="AK37" s="6">
        <v>1.4050984619334299</v>
      </c>
      <c r="AL37" s="6">
        <v>0.60695711733106394</v>
      </c>
      <c r="AM37" s="6">
        <v>0</v>
      </c>
      <c r="AN37" s="6">
        <v>0</v>
      </c>
      <c r="AO37" s="6">
        <v>0</v>
      </c>
      <c r="AP37" s="6">
        <v>0</v>
      </c>
      <c r="AQ37" s="6">
        <v>0.93305460450684996</v>
      </c>
      <c r="AR37" s="6">
        <v>1.4639648406828401</v>
      </c>
      <c r="AS37" s="6">
        <v>0</v>
      </c>
      <c r="AT37" s="6">
        <v>0</v>
      </c>
      <c r="AU37" s="6">
        <v>1.7242313115977299</v>
      </c>
      <c r="AV37" s="6">
        <v>0</v>
      </c>
      <c r="AW37" s="6">
        <v>0</v>
      </c>
      <c r="AX37" s="6">
        <v>0.65031621277166096</v>
      </c>
      <c r="AY37" s="6">
        <v>-2.7077514860490899</v>
      </c>
      <c r="AZ37" s="6">
        <v>0</v>
      </c>
      <c r="BA37" s="6">
        <v>0</v>
      </c>
      <c r="BB37" s="6">
        <v>0</v>
      </c>
      <c r="BC37" s="6">
        <v>58.083293660233799</v>
      </c>
    </row>
    <row r="38" spans="2:55" x14ac:dyDescent="0.25">
      <c r="B38" s="5">
        <v>20</v>
      </c>
      <c r="C38" s="5">
        <v>3</v>
      </c>
      <c r="D38" s="6">
        <v>0.78640963965697497</v>
      </c>
      <c r="E38" s="6">
        <v>-1.47695229917268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-1.5530515507737199</v>
      </c>
      <c r="M38" s="6">
        <v>0</v>
      </c>
      <c r="N38" s="6">
        <v>0</v>
      </c>
      <c r="O38" s="6">
        <v>0</v>
      </c>
      <c r="P38" s="6">
        <v>0</v>
      </c>
      <c r="Q38" s="6">
        <v>0.46703754541298897</v>
      </c>
      <c r="R38" s="6">
        <v>-1.5311594107547</v>
      </c>
      <c r="S38" s="6">
        <v>-0.74417770115315296</v>
      </c>
      <c r="T38" s="6">
        <v>0</v>
      </c>
      <c r="U38" s="6">
        <v>0</v>
      </c>
      <c r="V38" s="6">
        <v>0</v>
      </c>
      <c r="W38" s="6">
        <v>2.0786920380395499</v>
      </c>
      <c r="X38" s="6">
        <v>0.70678391230069904</v>
      </c>
      <c r="Y38" s="6">
        <v>1.1072133216206499</v>
      </c>
      <c r="Z38" s="6">
        <v>-1.6995280599675999</v>
      </c>
      <c r="AA38" s="6">
        <v>0.96394420192838504</v>
      </c>
      <c r="AB38" s="6">
        <v>0.74768558524266004</v>
      </c>
      <c r="AC38" s="6">
        <v>0</v>
      </c>
      <c r="AD38" s="6">
        <v>1.0110973443229401</v>
      </c>
      <c r="AE38" s="6">
        <v>0</v>
      </c>
      <c r="AF38" s="6">
        <v>0.92084374866821195</v>
      </c>
      <c r="AG38" s="6">
        <v>-0.63065875276626504</v>
      </c>
      <c r="AH38" s="6">
        <v>-1.1292689404573699</v>
      </c>
      <c r="AI38" s="6">
        <v>0</v>
      </c>
      <c r="AJ38" s="6">
        <v>0</v>
      </c>
      <c r="AK38" s="6">
        <v>1.2996779076154801</v>
      </c>
      <c r="AL38" s="6">
        <v>0</v>
      </c>
      <c r="AM38" s="6">
        <v>0</v>
      </c>
      <c r="AN38" s="6">
        <v>0</v>
      </c>
      <c r="AO38" s="6">
        <v>0</v>
      </c>
      <c r="AP38" s="6">
        <v>0</v>
      </c>
      <c r="AQ38" s="6">
        <v>0</v>
      </c>
      <c r="AR38" s="6">
        <v>0</v>
      </c>
      <c r="AS38" s="6">
        <v>0</v>
      </c>
      <c r="AT38" s="6">
        <v>-1.41969481505138</v>
      </c>
      <c r="AU38" s="6">
        <v>0</v>
      </c>
      <c r="AV38" s="6">
        <v>0</v>
      </c>
      <c r="AW38" s="6">
        <v>0</v>
      </c>
      <c r="AX38" s="6">
        <v>0</v>
      </c>
      <c r="AY38" s="6">
        <v>-1.69288419232632</v>
      </c>
      <c r="AZ38" s="6">
        <v>0</v>
      </c>
      <c r="BA38" s="6">
        <v>-0.870716141120774</v>
      </c>
      <c r="BB38" s="6">
        <v>0.77721943949002203</v>
      </c>
      <c r="BC38" s="6">
        <v>46.135726954537198</v>
      </c>
    </row>
    <row r="39" spans="2:55" x14ac:dyDescent="0.25">
      <c r="B39" s="5">
        <v>20</v>
      </c>
      <c r="C39" s="5">
        <v>4</v>
      </c>
      <c r="D39" s="6">
        <v>0.712057064719405</v>
      </c>
      <c r="E39" s="6">
        <v>0</v>
      </c>
      <c r="F39" s="6">
        <v>0</v>
      </c>
      <c r="G39" s="6">
        <v>0</v>
      </c>
      <c r="H39" s="6">
        <v>0</v>
      </c>
      <c r="I39" s="6">
        <v>0.63039122947369697</v>
      </c>
      <c r="J39" s="6">
        <v>0</v>
      </c>
      <c r="K39" s="6">
        <v>0</v>
      </c>
      <c r="L39" s="6">
        <v>-1.9645704295555499</v>
      </c>
      <c r="M39" s="6">
        <v>-1.0912438973540399</v>
      </c>
      <c r="N39" s="6">
        <v>0</v>
      </c>
      <c r="O39" s="6">
        <v>-0.44867358885131298</v>
      </c>
      <c r="P39" s="6">
        <v>-0.57160230794825095</v>
      </c>
      <c r="Q39" s="6">
        <v>0</v>
      </c>
      <c r="R39" s="6">
        <v>0</v>
      </c>
      <c r="S39" s="6">
        <v>0</v>
      </c>
      <c r="T39" s="6">
        <v>0</v>
      </c>
      <c r="U39" s="6">
        <v>0.35660086865182899</v>
      </c>
      <c r="V39" s="6">
        <v>0</v>
      </c>
      <c r="W39" s="6">
        <v>0</v>
      </c>
      <c r="X39" s="6">
        <v>0.97173430641372005</v>
      </c>
      <c r="Y39" s="6">
        <v>1.1182617851968699</v>
      </c>
      <c r="Z39" s="6">
        <v>-2.2212590549957798</v>
      </c>
      <c r="AA39" s="6">
        <v>1.3541474154955899</v>
      </c>
      <c r="AB39" s="6">
        <v>0</v>
      </c>
      <c r="AC39" s="6">
        <v>-1.1056712464023399</v>
      </c>
      <c r="AD39" s="6">
        <v>0.86677089083713399</v>
      </c>
      <c r="AE39" s="6">
        <v>0</v>
      </c>
      <c r="AF39" s="6">
        <v>0</v>
      </c>
      <c r="AG39" s="6">
        <v>0</v>
      </c>
      <c r="AH39" s="6">
        <v>0</v>
      </c>
      <c r="AI39" s="6">
        <v>-0.78323929091366096</v>
      </c>
      <c r="AJ39" s="6">
        <v>0</v>
      </c>
      <c r="AK39" s="6">
        <v>1.0978433382391899</v>
      </c>
      <c r="AL39" s="6">
        <v>0</v>
      </c>
      <c r="AM39" s="6">
        <v>0</v>
      </c>
      <c r="AN39" s="6">
        <v>-0.43497832123469499</v>
      </c>
      <c r="AO39" s="6">
        <v>0</v>
      </c>
      <c r="AP39" s="6">
        <v>-1.0315665548426101</v>
      </c>
      <c r="AQ39" s="6">
        <v>0</v>
      </c>
      <c r="AR39" s="6">
        <v>0</v>
      </c>
      <c r="AS39" s="6">
        <v>0</v>
      </c>
      <c r="AT39" s="6">
        <v>0</v>
      </c>
      <c r="AU39" s="6">
        <v>1.0139667384772</v>
      </c>
      <c r="AV39" s="6">
        <v>1.5684663290790499</v>
      </c>
      <c r="AW39" s="6">
        <v>0</v>
      </c>
      <c r="AX39" s="6">
        <v>0.94626734350836506</v>
      </c>
      <c r="AY39" s="6">
        <v>0</v>
      </c>
      <c r="AZ39" s="6">
        <v>0</v>
      </c>
      <c r="BA39" s="6">
        <v>0</v>
      </c>
      <c r="BB39" s="6">
        <v>0.53899060589072001</v>
      </c>
      <c r="BC39" s="6">
        <v>20.2093890384301</v>
      </c>
    </row>
    <row r="40" spans="2:55" x14ac:dyDescent="0.25">
      <c r="B40" s="5">
        <v>20</v>
      </c>
      <c r="C40" s="5">
        <v>5</v>
      </c>
      <c r="D40" s="6">
        <v>-0.32041408359226797</v>
      </c>
      <c r="E40" s="6">
        <v>-1.97053582756361</v>
      </c>
      <c r="F40" s="6">
        <v>-0.70279089730747102</v>
      </c>
      <c r="G40" s="6">
        <v>0</v>
      </c>
      <c r="H40" s="6">
        <v>-0.57765045639655199</v>
      </c>
      <c r="I40" s="6">
        <v>0</v>
      </c>
      <c r="J40" s="6">
        <v>0</v>
      </c>
      <c r="K40" s="6">
        <v>0</v>
      </c>
      <c r="L40" s="6">
        <v>-1.66999315526334</v>
      </c>
      <c r="M40" s="6">
        <v>0</v>
      </c>
      <c r="N40" s="6">
        <v>-1.3888389316631999</v>
      </c>
      <c r="O40" s="6">
        <v>0</v>
      </c>
      <c r="P40" s="6">
        <v>0</v>
      </c>
      <c r="Q40" s="6">
        <v>0</v>
      </c>
      <c r="R40" s="6">
        <v>-2.4315722062688501</v>
      </c>
      <c r="S40" s="6">
        <v>-0.502567187552449</v>
      </c>
      <c r="T40" s="6">
        <v>-2.15011687104175</v>
      </c>
      <c r="U40" s="6">
        <v>-0.43226841749246903</v>
      </c>
      <c r="V40" s="6">
        <v>0</v>
      </c>
      <c r="W40" s="6">
        <v>0.75101323473943504</v>
      </c>
      <c r="X40" s="6">
        <v>0</v>
      </c>
      <c r="Y40" s="6">
        <v>0.50331736524961801</v>
      </c>
      <c r="Z40" s="6">
        <v>0</v>
      </c>
      <c r="AA40" s="6">
        <v>0</v>
      </c>
      <c r="AB40" s="6">
        <v>0</v>
      </c>
      <c r="AC40" s="6">
        <v>0</v>
      </c>
      <c r="AD40" s="6">
        <v>0</v>
      </c>
      <c r="AE40" s="6">
        <v>0</v>
      </c>
      <c r="AF40" s="6">
        <v>0</v>
      </c>
      <c r="AG40" s="6">
        <v>0</v>
      </c>
      <c r="AH40" s="6">
        <v>-2.24076427990089</v>
      </c>
      <c r="AI40" s="6">
        <v>0</v>
      </c>
      <c r="AJ40" s="6">
        <v>0</v>
      </c>
      <c r="AK40" s="6">
        <v>0.50032578671697703</v>
      </c>
      <c r="AL40" s="6">
        <v>0</v>
      </c>
      <c r="AM40" s="6">
        <v>0</v>
      </c>
      <c r="AN40" s="6">
        <v>0</v>
      </c>
      <c r="AO40" s="6">
        <v>0.509771968145319</v>
      </c>
      <c r="AP40" s="6">
        <v>-1.2973416978160399</v>
      </c>
      <c r="AQ40" s="6">
        <v>0</v>
      </c>
      <c r="AR40" s="6">
        <v>0</v>
      </c>
      <c r="AS40" s="6">
        <v>0</v>
      </c>
      <c r="AT40" s="6">
        <v>-0.67588681380197402</v>
      </c>
      <c r="AU40" s="6">
        <v>1.4341993691458701</v>
      </c>
      <c r="AV40" s="6">
        <v>0.75789315635111798</v>
      </c>
      <c r="AW40" s="6">
        <v>0</v>
      </c>
      <c r="AX40" s="6">
        <v>0.33755823395347101</v>
      </c>
      <c r="AY40" s="6">
        <v>-1.4699334101584101</v>
      </c>
      <c r="AZ40" s="6">
        <v>0</v>
      </c>
      <c r="BA40" s="6">
        <v>0</v>
      </c>
      <c r="BB40" s="6">
        <v>0</v>
      </c>
      <c r="BC40" s="6">
        <v>70.2972872767117</v>
      </c>
    </row>
    <row r="41" spans="2:55" x14ac:dyDescent="0.25">
      <c r="B41" s="5">
        <v>20</v>
      </c>
      <c r="C41" s="5">
        <v>6</v>
      </c>
      <c r="D41" s="6">
        <v>1.4698363567153001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-2.1490121480120199</v>
      </c>
      <c r="M41" s="6">
        <v>0</v>
      </c>
      <c r="N41" s="6">
        <v>0.72516043042542899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  <c r="T41" s="6">
        <v>0</v>
      </c>
      <c r="U41" s="6">
        <v>0.97833853381993596</v>
      </c>
      <c r="V41" s="6">
        <v>0</v>
      </c>
      <c r="W41" s="6">
        <v>0.377289479675677</v>
      </c>
      <c r="X41" s="6">
        <v>0.74451278160230305</v>
      </c>
      <c r="Y41" s="6">
        <v>1.3552368003797799</v>
      </c>
      <c r="Z41" s="6">
        <v>-2.6015689272793998</v>
      </c>
      <c r="AA41" s="6">
        <v>1.4787706519175301</v>
      </c>
      <c r="AB41" s="6">
        <v>0</v>
      </c>
      <c r="AC41" s="6">
        <v>0</v>
      </c>
      <c r="AD41" s="6">
        <v>2.0133794803631702</v>
      </c>
      <c r="AE41" s="6">
        <v>1.4145168325488999</v>
      </c>
      <c r="AF41" s="6">
        <v>0</v>
      </c>
      <c r="AG41" s="6">
        <v>-0.50736666590258706</v>
      </c>
      <c r="AH41" s="6">
        <v>0</v>
      </c>
      <c r="AI41" s="6">
        <v>-0.84571233558909698</v>
      </c>
      <c r="AJ41" s="6">
        <v>0</v>
      </c>
      <c r="AK41" s="6">
        <v>2.1684735723002002</v>
      </c>
      <c r="AL41" s="6">
        <v>0</v>
      </c>
      <c r="AM41" s="6">
        <v>0</v>
      </c>
      <c r="AN41" s="6">
        <v>-0.85658607557517297</v>
      </c>
      <c r="AO41" s="6">
        <v>0</v>
      </c>
      <c r="AP41" s="6">
        <v>0</v>
      </c>
      <c r="AQ41" s="6">
        <v>1.0182664353106801</v>
      </c>
      <c r="AR41" s="6">
        <v>0</v>
      </c>
      <c r="AS41" s="6">
        <v>0</v>
      </c>
      <c r="AT41" s="6">
        <v>-0.78627286081341596</v>
      </c>
      <c r="AU41" s="6">
        <v>1.24190593681177</v>
      </c>
      <c r="AV41" s="6">
        <v>0.40749297281841701</v>
      </c>
      <c r="AW41" s="6">
        <v>0</v>
      </c>
      <c r="AX41" s="6">
        <v>0</v>
      </c>
      <c r="AY41" s="6">
        <v>-0.54844942537246699</v>
      </c>
      <c r="AZ41" s="6">
        <v>0</v>
      </c>
      <c r="BA41" s="6">
        <v>0</v>
      </c>
      <c r="BB41" s="6">
        <v>0.69204835633654604</v>
      </c>
      <c r="BC41" s="6">
        <v>35.150762118476699</v>
      </c>
    </row>
    <row r="42" spans="2:55" x14ac:dyDescent="0.25">
      <c r="B42" s="5">
        <v>20</v>
      </c>
      <c r="C42" s="5">
        <v>7</v>
      </c>
      <c r="D42" s="6">
        <v>0.80183990121936699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1.25115791078799</v>
      </c>
      <c r="L42" s="6">
        <v>-2.0630178905630401</v>
      </c>
      <c r="M42" s="6">
        <v>0</v>
      </c>
      <c r="N42" s="6">
        <v>0</v>
      </c>
      <c r="O42" s="6">
        <v>-0.82895696980338096</v>
      </c>
      <c r="P42" s="6">
        <v>-0.94331226892606201</v>
      </c>
      <c r="Q42" s="6">
        <v>-0.40362354149523999</v>
      </c>
      <c r="R42" s="6">
        <v>-0.60755558619148498</v>
      </c>
      <c r="S42" s="6">
        <v>0</v>
      </c>
      <c r="T42" s="6">
        <v>0</v>
      </c>
      <c r="U42" s="6">
        <v>0.91667397089325997</v>
      </c>
      <c r="V42" s="6">
        <v>0</v>
      </c>
      <c r="W42" s="6">
        <v>0</v>
      </c>
      <c r="X42" s="6">
        <v>1.2407806864036</v>
      </c>
      <c r="Y42" s="6">
        <v>0</v>
      </c>
      <c r="Z42" s="6">
        <v>-1.3805604029818499</v>
      </c>
      <c r="AA42" s="6">
        <v>1.3738820308292401</v>
      </c>
      <c r="AB42" s="6">
        <v>0</v>
      </c>
      <c r="AC42" s="6">
        <v>0</v>
      </c>
      <c r="AD42" s="6">
        <v>1.74579658024187</v>
      </c>
      <c r="AE42" s="6">
        <v>1.05647169329668</v>
      </c>
      <c r="AF42" s="6">
        <v>0</v>
      </c>
      <c r="AG42" s="6">
        <v>0</v>
      </c>
      <c r="AH42" s="6">
        <v>0</v>
      </c>
      <c r="AI42" s="6">
        <v>0</v>
      </c>
      <c r="AJ42" s="6">
        <v>0</v>
      </c>
      <c r="AK42" s="6">
        <v>2.01606904893266</v>
      </c>
      <c r="AL42" s="6">
        <v>-0.74664242735629205</v>
      </c>
      <c r="AM42" s="6">
        <v>0.67214021428068704</v>
      </c>
      <c r="AN42" s="6">
        <v>-1.2854912566762799</v>
      </c>
      <c r="AO42" s="6">
        <v>0</v>
      </c>
      <c r="AP42" s="6">
        <v>-1.34783870898159</v>
      </c>
      <c r="AQ42" s="6">
        <v>0</v>
      </c>
      <c r="AR42" s="6">
        <v>0</v>
      </c>
      <c r="AS42" s="6">
        <v>0</v>
      </c>
      <c r="AT42" s="6">
        <v>-1.3295654042312099</v>
      </c>
      <c r="AU42" s="6">
        <v>0</v>
      </c>
      <c r="AV42" s="6">
        <v>0</v>
      </c>
      <c r="AW42" s="6">
        <v>0</v>
      </c>
      <c r="AX42" s="6">
        <v>0</v>
      </c>
      <c r="AY42" s="6">
        <v>0</v>
      </c>
      <c r="AZ42" s="6">
        <v>-1.2364490328914</v>
      </c>
      <c r="BA42" s="6">
        <v>0</v>
      </c>
      <c r="BB42" s="6">
        <v>1.1237154673462399</v>
      </c>
      <c r="BC42" s="6">
        <v>50.018590666258298</v>
      </c>
    </row>
    <row r="43" spans="2:55" x14ac:dyDescent="0.25">
      <c r="B43" s="5">
        <v>20</v>
      </c>
      <c r="C43" s="5">
        <v>8</v>
      </c>
      <c r="D43" s="6">
        <v>0.39816782300832199</v>
      </c>
      <c r="E43" s="6">
        <v>0</v>
      </c>
      <c r="F43" s="6">
        <v>0</v>
      </c>
      <c r="G43" s="6">
        <v>0</v>
      </c>
      <c r="H43" s="6">
        <v>-0.46538317076702801</v>
      </c>
      <c r="I43" s="6">
        <v>0</v>
      </c>
      <c r="J43" s="6">
        <v>0</v>
      </c>
      <c r="K43" s="6">
        <v>-0.28253678041382702</v>
      </c>
      <c r="L43" s="6">
        <v>-2.6480077290614101</v>
      </c>
      <c r="M43" s="6">
        <v>0</v>
      </c>
      <c r="N43" s="6">
        <v>0</v>
      </c>
      <c r="O43" s="6">
        <v>-0.30737950846905499</v>
      </c>
      <c r="P43" s="6">
        <v>0</v>
      </c>
      <c r="Q43" s="6">
        <v>0.56794116569365904</v>
      </c>
      <c r="R43" s="6">
        <v>0</v>
      </c>
      <c r="S43" s="6">
        <v>0</v>
      </c>
      <c r="T43" s="6">
        <v>0</v>
      </c>
      <c r="U43" s="6">
        <v>0</v>
      </c>
      <c r="V43" s="6">
        <v>0</v>
      </c>
      <c r="W43" s="6">
        <v>1.17119202507951</v>
      </c>
      <c r="X43" s="6">
        <v>0</v>
      </c>
      <c r="Y43" s="6">
        <v>0</v>
      </c>
      <c r="Z43" s="6">
        <v>0</v>
      </c>
      <c r="AA43" s="6">
        <v>0.66101294636345997</v>
      </c>
      <c r="AB43" s="6">
        <v>0</v>
      </c>
      <c r="AC43" s="6">
        <v>-2.02781819875984</v>
      </c>
      <c r="AD43" s="6">
        <v>0.71069321338444003</v>
      </c>
      <c r="AE43" s="6">
        <v>0</v>
      </c>
      <c r="AF43" s="6">
        <v>0</v>
      </c>
      <c r="AG43" s="6">
        <v>1.4107952566039801</v>
      </c>
      <c r="AH43" s="6">
        <v>-1.11504718506824</v>
      </c>
      <c r="AI43" s="6">
        <v>0</v>
      </c>
      <c r="AJ43" s="6">
        <v>0</v>
      </c>
      <c r="AK43" s="6">
        <v>1.5881568975871401</v>
      </c>
      <c r="AL43" s="6">
        <v>-1.30711313549849</v>
      </c>
      <c r="AM43" s="6">
        <v>0</v>
      </c>
      <c r="AN43" s="6">
        <v>0</v>
      </c>
      <c r="AO43" s="6">
        <v>0</v>
      </c>
      <c r="AP43" s="6">
        <v>-2.92001350909936</v>
      </c>
      <c r="AQ43" s="6">
        <v>0</v>
      </c>
      <c r="AR43" s="6">
        <v>0</v>
      </c>
      <c r="AS43" s="6">
        <v>0.50144924918410405</v>
      </c>
      <c r="AT43" s="6">
        <v>0</v>
      </c>
      <c r="AU43" s="6">
        <v>0.97840652317955401</v>
      </c>
      <c r="AV43" s="6">
        <v>1.6990478856018201</v>
      </c>
      <c r="AW43" s="6">
        <v>0</v>
      </c>
      <c r="AX43" s="6">
        <v>2.1979910712477801</v>
      </c>
      <c r="AY43" s="6">
        <v>-1.7456543109676399</v>
      </c>
      <c r="AZ43" s="6">
        <v>0</v>
      </c>
      <c r="BA43" s="6">
        <v>0</v>
      </c>
      <c r="BB43" s="6">
        <v>1.1384639588854699</v>
      </c>
      <c r="BC43" s="6">
        <v>51.610779387884499</v>
      </c>
    </row>
    <row r="44" spans="2:55" x14ac:dyDescent="0.25">
      <c r="B44" s="5">
        <v>20</v>
      </c>
      <c r="C44" s="5">
        <v>9</v>
      </c>
      <c r="D44" s="6">
        <v>0.91989788734968103</v>
      </c>
      <c r="E44" s="6">
        <v>0</v>
      </c>
      <c r="F44" s="6">
        <v>-0.70736180054499698</v>
      </c>
      <c r="G44" s="6">
        <v>0</v>
      </c>
      <c r="H44" s="6">
        <v>0</v>
      </c>
      <c r="I44" s="6">
        <v>0</v>
      </c>
      <c r="J44" s="6">
        <v>0.76492486938114101</v>
      </c>
      <c r="K44" s="6">
        <v>0</v>
      </c>
      <c r="L44" s="6">
        <v>-1.98539086618048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-0.43869611798371599</v>
      </c>
      <c r="T44" s="6">
        <v>0</v>
      </c>
      <c r="U44" s="6">
        <v>0.50893701060365504</v>
      </c>
      <c r="V44" s="6">
        <v>0</v>
      </c>
      <c r="W44" s="6">
        <v>0</v>
      </c>
      <c r="X44" s="6">
        <v>0</v>
      </c>
      <c r="Y44" s="6">
        <v>0.53243984732156902</v>
      </c>
      <c r="Z44" s="6">
        <v>-2.4174964935038799</v>
      </c>
      <c r="AA44" s="6">
        <v>0.922668226099433</v>
      </c>
      <c r="AB44" s="6">
        <v>0</v>
      </c>
      <c r="AC44" s="6">
        <v>-1.3276156222208899</v>
      </c>
      <c r="AD44" s="6">
        <v>1.22871039866067</v>
      </c>
      <c r="AE44" s="6">
        <v>0.856522339622942</v>
      </c>
      <c r="AF44" s="6">
        <v>0</v>
      </c>
      <c r="AG44" s="6">
        <v>0</v>
      </c>
      <c r="AH44" s="6">
        <v>0</v>
      </c>
      <c r="AI44" s="6">
        <v>-0.43335999463966901</v>
      </c>
      <c r="AJ44" s="6">
        <v>0</v>
      </c>
      <c r="AK44" s="6">
        <v>0.88097805942110596</v>
      </c>
      <c r="AL44" s="6">
        <v>0</v>
      </c>
      <c r="AM44" s="6">
        <v>0.45443326956922597</v>
      </c>
      <c r="AN44" s="6">
        <v>0</v>
      </c>
      <c r="AO44" s="6">
        <v>0</v>
      </c>
      <c r="AP44" s="6">
        <v>0</v>
      </c>
      <c r="AQ44" s="6">
        <v>1.1355724231581801</v>
      </c>
      <c r="AR44" s="6">
        <v>0</v>
      </c>
      <c r="AS44" s="6">
        <v>0</v>
      </c>
      <c r="AT44" s="6">
        <v>0</v>
      </c>
      <c r="AU44" s="6">
        <v>1.0671226799776601</v>
      </c>
      <c r="AV44" s="6">
        <v>0.78225407913251999</v>
      </c>
      <c r="AW44" s="6">
        <v>0</v>
      </c>
      <c r="AX44" s="6">
        <v>0.45328352388026499</v>
      </c>
      <c r="AY44" s="6">
        <v>-0.242829182746784</v>
      </c>
      <c r="AZ44" s="6">
        <v>0</v>
      </c>
      <c r="BA44" s="6">
        <v>0</v>
      </c>
      <c r="BB44" s="6">
        <v>0.76810991087285496</v>
      </c>
      <c r="BC44" s="6">
        <v>14.216520253141899</v>
      </c>
    </row>
    <row r="45" spans="2:55" x14ac:dyDescent="0.25">
      <c r="B45" s="5">
        <v>25</v>
      </c>
      <c r="C45" s="5">
        <v>0</v>
      </c>
      <c r="D45" s="6">
        <v>2.7385320657217802</v>
      </c>
      <c r="E45" s="6">
        <v>-2.0609727951890702</v>
      </c>
      <c r="F45" s="6">
        <v>1.9969573666103599</v>
      </c>
      <c r="G45" s="6">
        <v>0</v>
      </c>
      <c r="H45" s="6">
        <v>-1.5223911135706401</v>
      </c>
      <c r="I45" s="6">
        <v>0</v>
      </c>
      <c r="J45" s="6">
        <v>2.1847663740979502</v>
      </c>
      <c r="K45" s="6">
        <v>0</v>
      </c>
      <c r="L45" s="6">
        <v>-3.2844066377293899</v>
      </c>
      <c r="M45" s="6">
        <v>2.2166083494973798</v>
      </c>
      <c r="N45" s="6">
        <v>2.7094225393900699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0</v>
      </c>
      <c r="U45" s="6">
        <v>1.8920589577645099</v>
      </c>
      <c r="V45" s="6">
        <v>0.61139727339877004</v>
      </c>
      <c r="W45" s="6">
        <v>0</v>
      </c>
      <c r="X45" s="6">
        <v>2.1676147317736798</v>
      </c>
      <c r="Y45" s="6">
        <v>1.14274795099507</v>
      </c>
      <c r="Z45" s="6">
        <v>-1.6149797541772899</v>
      </c>
      <c r="AA45" s="6">
        <v>2.01526919082939</v>
      </c>
      <c r="AB45" s="6">
        <v>0</v>
      </c>
      <c r="AC45" s="6">
        <v>2.5685876069928302</v>
      </c>
      <c r="AD45" s="6">
        <v>0.85444009438759105</v>
      </c>
      <c r="AE45" s="6">
        <v>0</v>
      </c>
      <c r="AF45" s="6">
        <v>0.73072140586059597</v>
      </c>
      <c r="AG45" s="6">
        <v>0</v>
      </c>
      <c r="AH45" s="6">
        <v>0</v>
      </c>
      <c r="AI45" s="6">
        <v>0</v>
      </c>
      <c r="AJ45" s="6">
        <v>1.5107162423823901</v>
      </c>
      <c r="AK45" s="6">
        <v>2.9885869682974602</v>
      </c>
      <c r="AL45" s="6">
        <v>0</v>
      </c>
      <c r="AM45" s="6">
        <v>0</v>
      </c>
      <c r="AN45" s="6">
        <v>-3.6513500207496401</v>
      </c>
      <c r="AO45" s="6">
        <v>0</v>
      </c>
      <c r="AP45" s="6">
        <v>-2.6271252237224498</v>
      </c>
      <c r="AQ45" s="6">
        <v>0.448409085917575</v>
      </c>
      <c r="AR45" s="6">
        <v>0</v>
      </c>
      <c r="AS45" s="6">
        <v>3.04215958011791</v>
      </c>
      <c r="AT45" s="6">
        <v>-4.4156270074602402</v>
      </c>
      <c r="AU45" s="6">
        <v>2.66454086273062</v>
      </c>
      <c r="AV45" s="6">
        <v>2.1900845707711398</v>
      </c>
      <c r="AW45" s="6">
        <v>0</v>
      </c>
      <c r="AX45" s="6">
        <v>0</v>
      </c>
      <c r="AY45" s="6">
        <v>0</v>
      </c>
      <c r="AZ45" s="6">
        <v>0</v>
      </c>
      <c r="BA45" s="6">
        <v>0</v>
      </c>
      <c r="BB45" s="6">
        <v>0</v>
      </c>
      <c r="BC45" s="6">
        <v>156.86587626410099</v>
      </c>
    </row>
    <row r="46" spans="2:55" x14ac:dyDescent="0.25">
      <c r="B46" s="5">
        <v>25</v>
      </c>
      <c r="C46" s="5">
        <v>1</v>
      </c>
      <c r="D46" s="6">
        <v>0.42009719319828298</v>
      </c>
      <c r="E46" s="6">
        <v>-1.64794189726822</v>
      </c>
      <c r="F46" s="6">
        <v>0</v>
      </c>
      <c r="G46" s="6">
        <v>0.83797360199587301</v>
      </c>
      <c r="H46" s="6">
        <v>-1.1836508832663799</v>
      </c>
      <c r="I46" s="6">
        <v>0</v>
      </c>
      <c r="J46" s="6">
        <v>0.46577573731716398</v>
      </c>
      <c r="K46" s="6">
        <v>0</v>
      </c>
      <c r="L46" s="6">
        <v>-2.4642464511451898</v>
      </c>
      <c r="M46" s="6">
        <v>0</v>
      </c>
      <c r="N46" s="6">
        <v>0</v>
      </c>
      <c r="O46" s="6">
        <v>0.34303721586102398</v>
      </c>
      <c r="P46" s="6">
        <v>0</v>
      </c>
      <c r="Q46" s="6">
        <v>0.51154751866620096</v>
      </c>
      <c r="R46" s="6">
        <v>-0.64529069047028897</v>
      </c>
      <c r="S46" s="6">
        <v>0</v>
      </c>
      <c r="T46" s="6">
        <v>-1.51044802518044</v>
      </c>
      <c r="U46" s="6">
        <v>0</v>
      </c>
      <c r="V46" s="6">
        <v>0</v>
      </c>
      <c r="W46" s="6">
        <v>1.25442549470946</v>
      </c>
      <c r="X46" s="6">
        <v>0</v>
      </c>
      <c r="Y46" s="6">
        <v>0.89978669352495699</v>
      </c>
      <c r="Z46" s="6">
        <v>-2.5257456756643002</v>
      </c>
      <c r="AA46" s="6">
        <v>1.03542316637744</v>
      </c>
      <c r="AB46" s="6">
        <v>0</v>
      </c>
      <c r="AC46" s="6">
        <v>-0.51768288345976099</v>
      </c>
      <c r="AD46" s="6">
        <v>0</v>
      </c>
      <c r="AE46" s="6">
        <v>0</v>
      </c>
      <c r="AF46" s="6">
        <v>0.50727286454053899</v>
      </c>
      <c r="AG46" s="6">
        <v>0</v>
      </c>
      <c r="AH46" s="6">
        <v>-1.97825750953876</v>
      </c>
      <c r="AI46" s="6">
        <v>0</v>
      </c>
      <c r="AJ46" s="6">
        <v>0</v>
      </c>
      <c r="AK46" s="6">
        <v>1.3455391729391299</v>
      </c>
      <c r="AL46" s="6">
        <v>0</v>
      </c>
      <c r="AM46" s="6">
        <v>0</v>
      </c>
      <c r="AN46" s="6">
        <v>0</v>
      </c>
      <c r="AO46" s="6">
        <v>0</v>
      </c>
      <c r="AP46" s="6">
        <v>-0.74454480191195005</v>
      </c>
      <c r="AQ46" s="6">
        <v>0</v>
      </c>
      <c r="AR46" s="6">
        <v>-1.50489852841062</v>
      </c>
      <c r="AS46" s="6">
        <v>0.70722524770052697</v>
      </c>
      <c r="AT46" s="6">
        <v>-2.2139611097959802</v>
      </c>
      <c r="AU46" s="6">
        <v>1.04550749387076</v>
      </c>
      <c r="AV46" s="6">
        <v>1.213714476065</v>
      </c>
      <c r="AW46" s="6">
        <v>-1.56759881342978</v>
      </c>
      <c r="AX46" s="6">
        <v>0</v>
      </c>
      <c r="AY46" s="6">
        <v>0</v>
      </c>
      <c r="AZ46" s="6">
        <v>0</v>
      </c>
      <c r="BA46" s="6">
        <v>0</v>
      </c>
      <c r="BB46" s="6">
        <v>0.92128422603228799</v>
      </c>
      <c r="BC46" s="6">
        <v>60.895416105625898</v>
      </c>
    </row>
    <row r="47" spans="2:55" x14ac:dyDescent="0.25">
      <c r="B47" s="5">
        <v>25</v>
      </c>
      <c r="C47" s="5">
        <v>2</v>
      </c>
      <c r="D47" s="6">
        <v>0.69450463480930702</v>
      </c>
      <c r="E47" s="6">
        <v>0</v>
      </c>
      <c r="F47" s="6">
        <v>0</v>
      </c>
      <c r="G47" s="6">
        <v>0</v>
      </c>
      <c r="H47" s="6">
        <v>0</v>
      </c>
      <c r="I47" s="6">
        <v>0.82006448797860398</v>
      </c>
      <c r="J47" s="6">
        <v>0.60524777408041597</v>
      </c>
      <c r="K47" s="6">
        <v>0</v>
      </c>
      <c r="L47" s="6">
        <v>-1.5289411717032899</v>
      </c>
      <c r="M47" s="6">
        <v>-0.75560007586160705</v>
      </c>
      <c r="N47" s="6">
        <v>1.2518160002573899</v>
      </c>
      <c r="O47" s="6">
        <v>0</v>
      </c>
      <c r="P47" s="6">
        <v>-0.70125921258551005</v>
      </c>
      <c r="Q47" s="6">
        <v>1.2278474788967799</v>
      </c>
      <c r="R47" s="6">
        <v>0</v>
      </c>
      <c r="S47" s="6">
        <v>0</v>
      </c>
      <c r="T47" s="6">
        <v>0</v>
      </c>
      <c r="U47" s="6">
        <v>0</v>
      </c>
      <c r="V47" s="6">
        <v>-1.0342966744215001</v>
      </c>
      <c r="W47" s="6">
        <v>0</v>
      </c>
      <c r="X47" s="6">
        <v>0</v>
      </c>
      <c r="Y47" s="6">
        <v>1.04205383976208</v>
      </c>
      <c r="Z47" s="6">
        <v>-2.7425235794645499</v>
      </c>
      <c r="AA47" s="6">
        <v>2.1843300730787401</v>
      </c>
      <c r="AB47" s="6">
        <v>0</v>
      </c>
      <c r="AC47" s="6">
        <v>-1.8187811864910799</v>
      </c>
      <c r="AD47" s="6">
        <v>2.9162259954063701</v>
      </c>
      <c r="AE47" s="6">
        <v>1.8481790457488301</v>
      </c>
      <c r="AF47" s="6">
        <v>0</v>
      </c>
      <c r="AG47" s="6">
        <v>0.93967564374841295</v>
      </c>
      <c r="AH47" s="6">
        <v>0</v>
      </c>
      <c r="AI47" s="6">
        <v>-0.55800164712955802</v>
      </c>
      <c r="AJ47" s="6">
        <v>0</v>
      </c>
      <c r="AK47" s="6">
        <v>1.47364857530052</v>
      </c>
      <c r="AL47" s="6">
        <v>0</v>
      </c>
      <c r="AM47" s="6">
        <v>0</v>
      </c>
      <c r="AN47" s="6">
        <v>0</v>
      </c>
      <c r="AO47" s="6">
        <v>-0.33634610518080399</v>
      </c>
      <c r="AP47" s="6">
        <v>-0.51448209744762696</v>
      </c>
      <c r="AQ47" s="6">
        <v>0</v>
      </c>
      <c r="AR47" s="6">
        <v>1.8626733375055</v>
      </c>
      <c r="AS47" s="6">
        <v>0</v>
      </c>
      <c r="AT47" s="6">
        <v>0</v>
      </c>
      <c r="AU47" s="6">
        <v>1.5110701436610099</v>
      </c>
      <c r="AV47" s="6">
        <v>0</v>
      </c>
      <c r="AW47" s="6">
        <v>0</v>
      </c>
      <c r="AX47" s="6">
        <v>0.97146937145727796</v>
      </c>
      <c r="AY47" s="6">
        <v>-3.2308688125844598</v>
      </c>
      <c r="AZ47" s="6">
        <v>-1.32732415628642</v>
      </c>
      <c r="BA47" s="6">
        <v>0</v>
      </c>
      <c r="BB47" s="6">
        <v>0.72950949085356898</v>
      </c>
      <c r="BC47" s="6">
        <v>48.405646282655503</v>
      </c>
    </row>
    <row r="48" spans="2:55" x14ac:dyDescent="0.25">
      <c r="B48" s="5">
        <v>25</v>
      </c>
      <c r="C48" s="5">
        <v>3</v>
      </c>
      <c r="D48" s="6">
        <v>1.0573562591489201</v>
      </c>
      <c r="E48" s="6">
        <v>-1.3868919016326799</v>
      </c>
      <c r="F48" s="6">
        <v>0</v>
      </c>
      <c r="G48" s="6">
        <v>0</v>
      </c>
      <c r="H48" s="6">
        <v>-0.58797410763379798</v>
      </c>
      <c r="I48" s="6">
        <v>0</v>
      </c>
      <c r="J48" s="6">
        <v>0</v>
      </c>
      <c r="K48" s="6">
        <v>0</v>
      </c>
      <c r="L48" s="6">
        <v>-1.86874142603771</v>
      </c>
      <c r="M48" s="6">
        <v>-0.25725963290045301</v>
      </c>
      <c r="N48" s="6">
        <v>0</v>
      </c>
      <c r="O48" s="6">
        <v>0</v>
      </c>
      <c r="P48" s="6">
        <v>0</v>
      </c>
      <c r="Q48" s="6">
        <v>0.32543696452433002</v>
      </c>
      <c r="R48" s="6">
        <v>-1.4252724449211001</v>
      </c>
      <c r="S48" s="6">
        <v>0</v>
      </c>
      <c r="T48" s="6">
        <v>0</v>
      </c>
      <c r="U48" s="6">
        <v>0.23804968746749899</v>
      </c>
      <c r="V48" s="6">
        <v>0</v>
      </c>
      <c r="W48" s="6">
        <v>2.4132224511674498</v>
      </c>
      <c r="X48" s="6">
        <v>1.22545234197262</v>
      </c>
      <c r="Y48" s="6">
        <v>1.0737365087170201</v>
      </c>
      <c r="Z48" s="6">
        <v>-0.88659724627969205</v>
      </c>
      <c r="AA48" s="6">
        <v>1.21990246947195</v>
      </c>
      <c r="AB48" s="6">
        <v>1.52027390166637</v>
      </c>
      <c r="AC48" s="6">
        <v>0</v>
      </c>
      <c r="AD48" s="6">
        <v>0.962169872998486</v>
      </c>
      <c r="AE48" s="6">
        <v>0</v>
      </c>
      <c r="AF48" s="6">
        <v>0.57149011102668701</v>
      </c>
      <c r="AG48" s="6">
        <v>0</v>
      </c>
      <c r="AH48" s="6">
        <v>-1.5441143760479299</v>
      </c>
      <c r="AI48" s="6">
        <v>0</v>
      </c>
      <c r="AJ48" s="6">
        <v>0</v>
      </c>
      <c r="AK48" s="6">
        <v>1.2802907656875999</v>
      </c>
      <c r="AL48" s="6">
        <v>0</v>
      </c>
      <c r="AM48" s="6">
        <v>0</v>
      </c>
      <c r="AN48" s="6">
        <v>-0.80585030515876499</v>
      </c>
      <c r="AO48" s="6">
        <v>0</v>
      </c>
      <c r="AP48" s="6">
        <v>-1.2598191754597099</v>
      </c>
      <c r="AQ48" s="6">
        <v>0</v>
      </c>
      <c r="AR48" s="6">
        <v>0</v>
      </c>
      <c r="AS48" s="6">
        <v>0</v>
      </c>
      <c r="AT48" s="6">
        <v>-1.4217251399075601</v>
      </c>
      <c r="AU48" s="6">
        <v>0</v>
      </c>
      <c r="AV48" s="6">
        <v>0.49504560528220998</v>
      </c>
      <c r="AW48" s="6">
        <v>0</v>
      </c>
      <c r="AX48" s="6">
        <v>0.83588129720262705</v>
      </c>
      <c r="AY48" s="6">
        <v>-2.02083767750204</v>
      </c>
      <c r="AZ48" s="6">
        <v>-0.343729646841204</v>
      </c>
      <c r="BA48" s="6">
        <v>0</v>
      </c>
      <c r="BB48" s="6">
        <v>0.94225863818858802</v>
      </c>
      <c r="BC48" s="6">
        <v>24.9024149673449</v>
      </c>
    </row>
    <row r="49" spans="2:55" x14ac:dyDescent="0.25">
      <c r="B49" s="5">
        <v>25</v>
      </c>
      <c r="C49" s="5">
        <v>4</v>
      </c>
      <c r="D49" s="6">
        <v>1.89935230729839</v>
      </c>
      <c r="E49" s="6">
        <v>-0.50038266821132604</v>
      </c>
      <c r="F49" s="6">
        <v>0</v>
      </c>
      <c r="G49" s="6">
        <v>1.06256230250527</v>
      </c>
      <c r="H49" s="6">
        <v>-0.77217525738249304</v>
      </c>
      <c r="I49" s="6">
        <v>0</v>
      </c>
      <c r="J49" s="6">
        <v>0.95709220263115402</v>
      </c>
      <c r="K49" s="6">
        <v>0</v>
      </c>
      <c r="L49" s="6">
        <v>-2.2976017431016098</v>
      </c>
      <c r="M49" s="6">
        <v>-1.05853323903824</v>
      </c>
      <c r="N49" s="6">
        <v>0</v>
      </c>
      <c r="O49" s="6">
        <v>0</v>
      </c>
      <c r="P49" s="6">
        <v>-1.5790238396021701</v>
      </c>
      <c r="Q49" s="6">
        <v>0</v>
      </c>
      <c r="R49" s="6">
        <v>-1.10635625233132</v>
      </c>
      <c r="S49" s="6">
        <v>0</v>
      </c>
      <c r="T49" s="6">
        <v>0</v>
      </c>
      <c r="U49" s="6">
        <v>0</v>
      </c>
      <c r="V49" s="6">
        <v>0</v>
      </c>
      <c r="W49" s="6">
        <v>0</v>
      </c>
      <c r="X49" s="6">
        <v>2.0630672767742699</v>
      </c>
      <c r="Y49" s="6">
        <v>1.4509615450415401</v>
      </c>
      <c r="Z49" s="6">
        <v>-2.34073431199608</v>
      </c>
      <c r="AA49" s="6">
        <v>1.7730936515899001</v>
      </c>
      <c r="AB49" s="6">
        <v>0</v>
      </c>
      <c r="AC49" s="6">
        <v>0</v>
      </c>
      <c r="AD49" s="6">
        <v>1.0793211987506901</v>
      </c>
      <c r="AE49" s="6">
        <v>0.39435059638472097</v>
      </c>
      <c r="AF49" s="6">
        <v>0.21909476796736399</v>
      </c>
      <c r="AG49" s="6">
        <v>1.1541225071936001</v>
      </c>
      <c r="AH49" s="6">
        <v>0</v>
      </c>
      <c r="AI49" s="6">
        <v>0</v>
      </c>
      <c r="AJ49" s="6">
        <v>0</v>
      </c>
      <c r="AK49" s="6">
        <v>2.0434085615623698</v>
      </c>
      <c r="AL49" s="6">
        <v>-0.909551881419564</v>
      </c>
      <c r="AM49" s="6">
        <v>0</v>
      </c>
      <c r="AN49" s="6">
        <v>-1.67415407517263</v>
      </c>
      <c r="AO49" s="6">
        <v>0</v>
      </c>
      <c r="AP49" s="6">
        <v>-0.86169629439735496</v>
      </c>
      <c r="AQ49" s="6">
        <v>0</v>
      </c>
      <c r="AR49" s="6">
        <v>0</v>
      </c>
      <c r="AS49" s="6">
        <v>0</v>
      </c>
      <c r="AT49" s="6">
        <v>0</v>
      </c>
      <c r="AU49" s="6">
        <v>1.2076594673788501</v>
      </c>
      <c r="AV49" s="6">
        <v>1.32313437163661</v>
      </c>
      <c r="AW49" s="6">
        <v>0</v>
      </c>
      <c r="AX49" s="6">
        <v>0</v>
      </c>
      <c r="AY49" s="6">
        <v>-0.91271302118430697</v>
      </c>
      <c r="AZ49" s="6">
        <v>-1.1800839064081401</v>
      </c>
      <c r="BA49" s="6">
        <v>0.67564241881324405</v>
      </c>
      <c r="BB49" s="6">
        <v>0</v>
      </c>
      <c r="BC49" s="6">
        <v>63.471118910831699</v>
      </c>
    </row>
    <row r="50" spans="2:55" x14ac:dyDescent="0.25">
      <c r="B50" s="5">
        <v>25</v>
      </c>
      <c r="C50" s="5">
        <v>5</v>
      </c>
      <c r="D50" s="6">
        <v>-2.04845246510501E-2</v>
      </c>
      <c r="E50" s="6">
        <v>-2.1911933801163599</v>
      </c>
      <c r="F50" s="6">
        <v>0</v>
      </c>
      <c r="G50" s="6">
        <v>0</v>
      </c>
      <c r="H50" s="6">
        <v>0</v>
      </c>
      <c r="I50" s="6">
        <v>0</v>
      </c>
      <c r="J50" s="6">
        <v>1.1164282349558099</v>
      </c>
      <c r="K50" s="6">
        <v>0</v>
      </c>
      <c r="L50" s="6">
        <v>-2.2886249450188298</v>
      </c>
      <c r="M50" s="6">
        <v>1.3001622401506701</v>
      </c>
      <c r="N50" s="6">
        <v>0</v>
      </c>
      <c r="O50" s="6">
        <v>0</v>
      </c>
      <c r="P50" s="6">
        <v>0</v>
      </c>
      <c r="Q50" s="6">
        <v>0</v>
      </c>
      <c r="R50" s="6">
        <v>-1.9862136134844199</v>
      </c>
      <c r="S50" s="6">
        <v>-0.82901375260100196</v>
      </c>
      <c r="T50" s="6">
        <v>-1.5511409687873301</v>
      </c>
      <c r="U50" s="6">
        <v>0.43644697957447898</v>
      </c>
      <c r="V50" s="6">
        <v>0</v>
      </c>
      <c r="W50" s="6">
        <v>0</v>
      </c>
      <c r="X50" s="6">
        <v>0</v>
      </c>
      <c r="Y50" s="6">
        <v>0.47143330152631302</v>
      </c>
      <c r="Z50" s="6">
        <v>0</v>
      </c>
      <c r="AA50" s="6">
        <v>0.61232795315871902</v>
      </c>
      <c r="AB50" s="6">
        <v>-0.66945849378834399</v>
      </c>
      <c r="AC50" s="6">
        <v>0.67005634633061495</v>
      </c>
      <c r="AD50" s="6">
        <v>0</v>
      </c>
      <c r="AE50" s="6">
        <v>0</v>
      </c>
      <c r="AF50" s="6">
        <v>0</v>
      </c>
      <c r="AG50" s="6">
        <v>0</v>
      </c>
      <c r="AH50" s="6">
        <v>-1.3454692546523399</v>
      </c>
      <c r="AI50" s="6">
        <v>0.92421519831771703</v>
      </c>
      <c r="AJ50" s="6">
        <v>0</v>
      </c>
      <c r="AK50" s="6">
        <v>1.6413871055917699</v>
      </c>
      <c r="AL50" s="6">
        <v>0</v>
      </c>
      <c r="AM50" s="6">
        <v>0</v>
      </c>
      <c r="AN50" s="6">
        <v>-1.36503192695778</v>
      </c>
      <c r="AO50" s="6">
        <v>0.34422162054648597</v>
      </c>
      <c r="AP50" s="6">
        <v>-1.94739065763101</v>
      </c>
      <c r="AQ50" s="6">
        <v>0.43659883798693899</v>
      </c>
      <c r="AR50" s="6">
        <v>-0.83536201866359305</v>
      </c>
      <c r="AS50" s="6">
        <v>1.9862702833597601</v>
      </c>
      <c r="AT50" s="6">
        <v>-3.1748277081910499</v>
      </c>
      <c r="AU50" s="6">
        <v>1.6282964156429001</v>
      </c>
      <c r="AV50" s="6">
        <v>0</v>
      </c>
      <c r="AW50" s="6">
        <v>-0.79262415879119497</v>
      </c>
      <c r="AX50" s="6">
        <v>0</v>
      </c>
      <c r="AY50" s="6">
        <v>-0.68472140380920599</v>
      </c>
      <c r="AZ50" s="6">
        <v>0</v>
      </c>
      <c r="BA50" s="6">
        <v>0</v>
      </c>
      <c r="BB50" s="6">
        <v>0</v>
      </c>
      <c r="BC50" s="6">
        <v>78.211890989705296</v>
      </c>
    </row>
    <row r="51" spans="2:55" x14ac:dyDescent="0.25">
      <c r="B51" s="5">
        <v>25</v>
      </c>
      <c r="C51" s="5">
        <v>6</v>
      </c>
      <c r="D51" s="6">
        <v>0.81533495707332704</v>
      </c>
      <c r="E51" s="6">
        <v>-0.94983574447846497</v>
      </c>
      <c r="F51" s="6">
        <v>0</v>
      </c>
      <c r="G51" s="6">
        <v>0</v>
      </c>
      <c r="H51" s="6">
        <v>-0.58491049022735597</v>
      </c>
      <c r="I51" s="6">
        <v>0</v>
      </c>
      <c r="J51" s="6">
        <v>-0.21892024834676799</v>
      </c>
      <c r="K51" s="6">
        <v>0</v>
      </c>
      <c r="L51" s="6">
        <v>-1.92038317818511</v>
      </c>
      <c r="M51" s="6">
        <v>-1.1679878944373401</v>
      </c>
      <c r="N51" s="6">
        <v>0</v>
      </c>
      <c r="O51" s="6">
        <v>0</v>
      </c>
      <c r="P51" s="6">
        <v>-1.41357451887747</v>
      </c>
      <c r="Q51" s="6">
        <v>0</v>
      </c>
      <c r="R51" s="6">
        <v>-1.04956480517435</v>
      </c>
      <c r="S51" s="6">
        <v>0</v>
      </c>
      <c r="T51" s="6">
        <v>-1.7407887141335101</v>
      </c>
      <c r="U51" s="6">
        <v>0</v>
      </c>
      <c r="V51" s="6">
        <v>0</v>
      </c>
      <c r="W51" s="6">
        <v>0</v>
      </c>
      <c r="X51" s="6">
        <v>0</v>
      </c>
      <c r="Y51" s="6">
        <v>1.257059330733</v>
      </c>
      <c r="Z51" s="6">
        <v>-1.84737271855304</v>
      </c>
      <c r="AA51" s="6">
        <v>1.1503186439137201</v>
      </c>
      <c r="AB51" s="6">
        <v>-0.82460649780806405</v>
      </c>
      <c r="AC51" s="6">
        <v>0</v>
      </c>
      <c r="AD51" s="6">
        <v>1.6593112417765901</v>
      </c>
      <c r="AE51" s="6">
        <v>1.0085585504038199</v>
      </c>
      <c r="AF51" s="6">
        <v>0</v>
      </c>
      <c r="AG51" s="6">
        <v>0.28367222294515398</v>
      </c>
      <c r="AH51" s="6">
        <v>-1.0361278293998399</v>
      </c>
      <c r="AI51" s="6">
        <v>-1.42770474316512</v>
      </c>
      <c r="AJ51" s="6">
        <v>0.66211153717654703</v>
      </c>
      <c r="AK51" s="6">
        <v>1.64888392726439</v>
      </c>
      <c r="AL51" s="6">
        <v>0</v>
      </c>
      <c r="AM51" s="6">
        <v>0</v>
      </c>
      <c r="AN51" s="6">
        <v>-1.37076017763673</v>
      </c>
      <c r="AO51" s="6">
        <v>0.93596247153648804</v>
      </c>
      <c r="AP51" s="6">
        <v>0</v>
      </c>
      <c r="AQ51" s="6">
        <v>0</v>
      </c>
      <c r="AR51" s="6">
        <v>0</v>
      </c>
      <c r="AS51" s="6">
        <v>0</v>
      </c>
      <c r="AT51" s="6">
        <v>0</v>
      </c>
      <c r="AU51" s="6">
        <v>2.2060241329138801</v>
      </c>
      <c r="AV51" s="6">
        <v>1.06574635316473</v>
      </c>
      <c r="AW51" s="6">
        <v>0</v>
      </c>
      <c r="AX51" s="6">
        <v>0</v>
      </c>
      <c r="AY51" s="6">
        <v>-1.05736048889712</v>
      </c>
      <c r="AZ51" s="6">
        <v>0</v>
      </c>
      <c r="BA51" s="6">
        <v>0</v>
      </c>
      <c r="BB51" s="6">
        <v>0.43247454910137401</v>
      </c>
      <c r="BC51" s="6">
        <v>34.078101316491001</v>
      </c>
    </row>
    <row r="52" spans="2:55" x14ac:dyDescent="0.25">
      <c r="B52" s="5">
        <v>25</v>
      </c>
      <c r="C52" s="5">
        <v>7</v>
      </c>
      <c r="D52" s="6">
        <v>0.43030218373031298</v>
      </c>
      <c r="E52" s="6">
        <v>0</v>
      </c>
      <c r="F52" s="6">
        <v>0</v>
      </c>
      <c r="G52" s="6">
        <v>0</v>
      </c>
      <c r="H52" s="6">
        <v>0</v>
      </c>
      <c r="I52" s="6">
        <v>1.57810110297919</v>
      </c>
      <c r="J52" s="6">
        <v>0</v>
      </c>
      <c r="K52" s="6">
        <v>1.22402366949387</v>
      </c>
      <c r="L52" s="6">
        <v>-1.1427962521882999</v>
      </c>
      <c r="M52" s="6">
        <v>0.42813673433583999</v>
      </c>
      <c r="N52" s="6">
        <v>0</v>
      </c>
      <c r="O52" s="6">
        <v>-1.02543290265857</v>
      </c>
      <c r="P52" s="6">
        <v>0</v>
      </c>
      <c r="Q52" s="6">
        <v>0</v>
      </c>
      <c r="R52" s="6">
        <v>0</v>
      </c>
      <c r="S52" s="6">
        <v>0</v>
      </c>
      <c r="T52" s="6">
        <v>-1.1882530376989999</v>
      </c>
      <c r="U52" s="6">
        <v>1.27633529023082</v>
      </c>
      <c r="V52" s="6">
        <v>0</v>
      </c>
      <c r="W52" s="6">
        <v>1.1631899412017599</v>
      </c>
      <c r="X52" s="6">
        <v>0</v>
      </c>
      <c r="Y52" s="6">
        <v>1.2922454741737599</v>
      </c>
      <c r="Z52" s="6">
        <v>0</v>
      </c>
      <c r="AA52" s="6">
        <v>2.2406981124555099</v>
      </c>
      <c r="AB52" s="6">
        <v>0.87172259794192397</v>
      </c>
      <c r="AC52" s="6">
        <v>0</v>
      </c>
      <c r="AD52" s="6">
        <v>2.8091268496887101</v>
      </c>
      <c r="AE52" s="6">
        <v>0.58580165054439604</v>
      </c>
      <c r="AF52" s="6">
        <v>0.35508235694533702</v>
      </c>
      <c r="AG52" s="6">
        <v>0</v>
      </c>
      <c r="AH52" s="6">
        <v>-1.75729739199518</v>
      </c>
      <c r="AI52" s="6">
        <v>-1.2632030932029199</v>
      </c>
      <c r="AJ52" s="6">
        <v>0</v>
      </c>
      <c r="AK52" s="6">
        <v>2.7146498658798399</v>
      </c>
      <c r="AL52" s="6">
        <v>0</v>
      </c>
      <c r="AM52" s="6">
        <v>2.20842701517115</v>
      </c>
      <c r="AN52" s="6">
        <v>-0.75528370943141698</v>
      </c>
      <c r="AO52" s="6">
        <v>0</v>
      </c>
      <c r="AP52" s="6">
        <v>-0.79722128171359696</v>
      </c>
      <c r="AQ52" s="6">
        <v>0</v>
      </c>
      <c r="AR52" s="6">
        <v>0</v>
      </c>
      <c r="AS52" s="6">
        <v>2.4739843734447802</v>
      </c>
      <c r="AT52" s="6">
        <v>-1.9088371782928899</v>
      </c>
      <c r="AU52" s="6">
        <v>1.45965167287248</v>
      </c>
      <c r="AV52" s="6">
        <v>0</v>
      </c>
      <c r="AW52" s="6">
        <v>0</v>
      </c>
      <c r="AX52" s="6">
        <v>0</v>
      </c>
      <c r="AY52" s="6">
        <v>-1.10264832230323</v>
      </c>
      <c r="AZ52" s="6">
        <v>0</v>
      </c>
      <c r="BA52" s="6">
        <v>0</v>
      </c>
      <c r="BB52" s="6">
        <v>1.1756693213492799</v>
      </c>
      <c r="BC52" s="6">
        <v>47.034841953913698</v>
      </c>
    </row>
    <row r="53" spans="2:55" x14ac:dyDescent="0.25">
      <c r="B53" s="5">
        <v>25</v>
      </c>
      <c r="C53" s="5">
        <v>8</v>
      </c>
      <c r="D53" s="6">
        <v>-0.72280010127584804</v>
      </c>
      <c r="E53" s="6">
        <v>0</v>
      </c>
      <c r="F53" s="6">
        <v>0</v>
      </c>
      <c r="G53" s="6">
        <v>2.6378134822291699</v>
      </c>
      <c r="H53" s="6">
        <v>0</v>
      </c>
      <c r="I53" s="6">
        <v>2.8866768670186</v>
      </c>
      <c r="J53" s="6">
        <v>-1.4176600130781301</v>
      </c>
      <c r="K53" s="6">
        <v>0</v>
      </c>
      <c r="L53" s="6">
        <v>0</v>
      </c>
      <c r="M53" s="6">
        <v>1.0856225074644801</v>
      </c>
      <c r="N53" s="6">
        <v>0.96819337786978299</v>
      </c>
      <c r="O53" s="6">
        <v>-1.2274116645548601</v>
      </c>
      <c r="P53" s="6">
        <v>-0.88067535129399199</v>
      </c>
      <c r="Q53" s="6">
        <v>1.1723747863871501</v>
      </c>
      <c r="R53" s="6">
        <v>0</v>
      </c>
      <c r="S53" s="6">
        <v>0</v>
      </c>
      <c r="T53" s="6">
        <v>0</v>
      </c>
      <c r="U53" s="6">
        <v>1.76746345586632</v>
      </c>
      <c r="V53" s="6">
        <v>1.41197816506843</v>
      </c>
      <c r="W53" s="6">
        <v>1.94494932223452</v>
      </c>
      <c r="X53" s="6">
        <v>3.9358624000703699</v>
      </c>
      <c r="Y53" s="6">
        <v>2.6849779262377398</v>
      </c>
      <c r="Z53" s="6">
        <v>-3.5120382653480502</v>
      </c>
      <c r="AA53" s="6">
        <v>2.3239601680246</v>
      </c>
      <c r="AB53" s="6">
        <v>0</v>
      </c>
      <c r="AC53" s="6">
        <v>0</v>
      </c>
      <c r="AD53" s="6">
        <v>2.6198039217445301</v>
      </c>
      <c r="AE53" s="6">
        <v>0</v>
      </c>
      <c r="AF53" s="6">
        <v>2.14854163975152</v>
      </c>
      <c r="AG53" s="6">
        <v>-0.54531402645064397</v>
      </c>
      <c r="AH53" s="6">
        <v>0</v>
      </c>
      <c r="AI53" s="6">
        <v>0</v>
      </c>
      <c r="AJ53" s="6">
        <v>-1.30595853993112</v>
      </c>
      <c r="AK53" s="6">
        <v>4.7077525058844198</v>
      </c>
      <c r="AL53" s="6">
        <v>0</v>
      </c>
      <c r="AM53" s="6">
        <v>0</v>
      </c>
      <c r="AN53" s="6">
        <v>0.75771356456026295</v>
      </c>
      <c r="AO53" s="6">
        <v>-4.2801458565977297</v>
      </c>
      <c r="AP53" s="6">
        <v>0</v>
      </c>
      <c r="AQ53" s="6">
        <v>0</v>
      </c>
      <c r="AR53" s="6">
        <v>0</v>
      </c>
      <c r="AS53" s="6">
        <v>0</v>
      </c>
      <c r="AT53" s="6">
        <v>0</v>
      </c>
      <c r="AU53" s="6">
        <v>0</v>
      </c>
      <c r="AV53" s="6">
        <v>0</v>
      </c>
      <c r="AW53" s="6">
        <v>2.8533981950493499</v>
      </c>
      <c r="AX53" s="6">
        <v>0</v>
      </c>
      <c r="AY53" s="6">
        <v>0</v>
      </c>
      <c r="AZ53" s="6">
        <v>-1.4130778091812599</v>
      </c>
      <c r="BA53" s="6">
        <v>0</v>
      </c>
      <c r="BB53" s="6">
        <v>0.98070489701719199</v>
      </c>
      <c r="BC53" s="6">
        <v>110.90903575044899</v>
      </c>
    </row>
    <row r="54" spans="2:55" x14ac:dyDescent="0.25">
      <c r="B54" s="5">
        <v>25</v>
      </c>
      <c r="C54" s="5">
        <v>9</v>
      </c>
      <c r="D54" s="6">
        <v>1.5499723163916399</v>
      </c>
      <c r="E54" s="6">
        <v>-0.83234630975788004</v>
      </c>
      <c r="F54" s="6">
        <v>0</v>
      </c>
      <c r="G54" s="6">
        <v>0</v>
      </c>
      <c r="H54" s="6">
        <v>-0.77994199264987796</v>
      </c>
      <c r="I54" s="6">
        <v>0.91143039228892297</v>
      </c>
      <c r="J54" s="6">
        <v>0</v>
      </c>
      <c r="K54" s="6">
        <v>0</v>
      </c>
      <c r="L54" s="6">
        <v>-1.1422760365570299</v>
      </c>
      <c r="M54" s="6">
        <v>0</v>
      </c>
      <c r="N54" s="6">
        <v>2.1950700550427902</v>
      </c>
      <c r="O54" s="6">
        <v>0</v>
      </c>
      <c r="P54" s="6">
        <v>0</v>
      </c>
      <c r="Q54" s="6">
        <v>0.94922747861629397</v>
      </c>
      <c r="R54" s="6">
        <v>-0.84514553537819903</v>
      </c>
      <c r="S54" s="6">
        <v>0</v>
      </c>
      <c r="T54" s="6">
        <v>1.78232645239548</v>
      </c>
      <c r="U54" s="6">
        <v>0</v>
      </c>
      <c r="V54" s="6">
        <v>0</v>
      </c>
      <c r="W54" s="6">
        <v>1.0362725061809399</v>
      </c>
      <c r="X54" s="6">
        <v>1.5756838059372</v>
      </c>
      <c r="Y54" s="6">
        <v>1.5059760227974699</v>
      </c>
      <c r="Z54" s="6">
        <v>-1.92571472630562</v>
      </c>
      <c r="AA54" s="6">
        <v>2.1594677234724</v>
      </c>
      <c r="AB54" s="6">
        <v>1.5834958508999</v>
      </c>
      <c r="AC54" s="6">
        <v>0</v>
      </c>
      <c r="AD54" s="6">
        <v>3.2147840332472399</v>
      </c>
      <c r="AE54" s="6">
        <v>1.7941306509677599</v>
      </c>
      <c r="AF54" s="6">
        <v>0.69512832711443495</v>
      </c>
      <c r="AG54" s="6">
        <v>0</v>
      </c>
      <c r="AH54" s="6">
        <v>0</v>
      </c>
      <c r="AI54" s="6">
        <v>0</v>
      </c>
      <c r="AJ54" s="6">
        <v>0</v>
      </c>
      <c r="AK54" s="6">
        <v>2.0397260580332501</v>
      </c>
      <c r="AL54" s="6">
        <v>0</v>
      </c>
      <c r="AM54" s="6">
        <v>0</v>
      </c>
      <c r="AN54" s="6">
        <v>0</v>
      </c>
      <c r="AO54" s="6">
        <v>0</v>
      </c>
      <c r="AP54" s="6">
        <v>-0.65063409434872899</v>
      </c>
      <c r="AQ54" s="6">
        <v>0</v>
      </c>
      <c r="AR54" s="6">
        <v>1.77462853732437</v>
      </c>
      <c r="AS54" s="6">
        <v>0</v>
      </c>
      <c r="AT54" s="6">
        <v>-1.13219451123639</v>
      </c>
      <c r="AU54" s="6">
        <v>0</v>
      </c>
      <c r="AV54" s="6">
        <v>0</v>
      </c>
      <c r="AW54" s="6">
        <v>0</v>
      </c>
      <c r="AX54" s="6">
        <v>0.94310701625295601</v>
      </c>
      <c r="AY54" s="6">
        <v>-3.3321891666383499</v>
      </c>
      <c r="AZ54" s="6">
        <v>-1.36163622882625</v>
      </c>
      <c r="BA54" s="6">
        <v>0</v>
      </c>
      <c r="BB54" s="6">
        <v>0.57232997072625902</v>
      </c>
      <c r="BC54" s="6">
        <v>23.896595615967399</v>
      </c>
    </row>
    <row r="55" spans="2:55" x14ac:dyDescent="0.25">
      <c r="B55" s="5">
        <v>30</v>
      </c>
      <c r="C55" s="5">
        <v>0</v>
      </c>
      <c r="D55" s="6">
        <v>1.1117764417466101</v>
      </c>
      <c r="E55" s="6">
        <v>0</v>
      </c>
      <c r="F55" s="6">
        <v>0</v>
      </c>
      <c r="G55" s="6">
        <v>1.4627209142361199</v>
      </c>
      <c r="H55" s="6">
        <v>-1.3779895080501401</v>
      </c>
      <c r="I55" s="6">
        <v>0</v>
      </c>
      <c r="J55" s="6">
        <v>1.33969582253724</v>
      </c>
      <c r="K55" s="6">
        <v>-1.6766632864743001</v>
      </c>
      <c r="L55" s="6">
        <v>-1.05293282269175</v>
      </c>
      <c r="M55" s="6">
        <v>0</v>
      </c>
      <c r="N55" s="6">
        <v>0</v>
      </c>
      <c r="O55" s="6">
        <v>0</v>
      </c>
      <c r="P55" s="6">
        <v>1.4664941767881901</v>
      </c>
      <c r="Q55" s="6">
        <v>0.43853953170489901</v>
      </c>
      <c r="R55" s="6">
        <v>-1.5440134380159101</v>
      </c>
      <c r="S55" s="6">
        <v>0</v>
      </c>
      <c r="T55" s="6">
        <v>-0.837581096653781</v>
      </c>
      <c r="U55" s="6">
        <v>1.1038305127362</v>
      </c>
      <c r="V55" s="6">
        <v>-0.49118756751012499</v>
      </c>
      <c r="W55" s="6">
        <v>4.6300668701202898</v>
      </c>
      <c r="X55" s="6">
        <v>2.7606781687977202</v>
      </c>
      <c r="Y55" s="6">
        <v>1.59892001124932</v>
      </c>
      <c r="Z55" s="6">
        <v>0.69571225689971905</v>
      </c>
      <c r="AA55" s="6">
        <v>2.0744985764547001</v>
      </c>
      <c r="AB55" s="6">
        <v>3.7667252668038702</v>
      </c>
      <c r="AC55" s="6">
        <v>1.08865783742474</v>
      </c>
      <c r="AD55" s="6">
        <v>4.6823615177654396</v>
      </c>
      <c r="AE55" s="6">
        <v>0</v>
      </c>
      <c r="AF55" s="6">
        <v>0</v>
      </c>
      <c r="AG55" s="6">
        <v>0</v>
      </c>
      <c r="AH55" s="6">
        <v>-3.6049960105458299</v>
      </c>
      <c r="AI55" s="6">
        <v>0</v>
      </c>
      <c r="AJ55" s="6">
        <v>-1.55580168267042</v>
      </c>
      <c r="AK55" s="6">
        <v>3.1287428731387998</v>
      </c>
      <c r="AL55" s="6">
        <v>0</v>
      </c>
      <c r="AM55" s="6">
        <v>1.60834042474465</v>
      </c>
      <c r="AN55" s="6">
        <v>0</v>
      </c>
      <c r="AO55" s="6">
        <v>0</v>
      </c>
      <c r="AP55" s="6">
        <v>-2.3284304287748099</v>
      </c>
      <c r="AQ55" s="6">
        <v>0</v>
      </c>
      <c r="AR55" s="6">
        <v>0</v>
      </c>
      <c r="AS55" s="6">
        <v>-0.89662260072562605</v>
      </c>
      <c r="AT55" s="6">
        <v>0</v>
      </c>
      <c r="AU55" s="6">
        <v>0</v>
      </c>
      <c r="AV55" s="6">
        <v>0</v>
      </c>
      <c r="AW55" s="6">
        <v>2.4979620360225998</v>
      </c>
      <c r="AX55" s="6">
        <v>0</v>
      </c>
      <c r="AY55" s="6">
        <v>-4.1008154674085002</v>
      </c>
      <c r="AZ55" s="6">
        <v>-1.1551412503495699</v>
      </c>
      <c r="BA55" s="6">
        <v>1.4392875604981801</v>
      </c>
      <c r="BB55" s="6">
        <v>1.48525813561146</v>
      </c>
      <c r="BC55" s="6">
        <v>36.369686605221297</v>
      </c>
    </row>
    <row r="56" spans="2:55" x14ac:dyDescent="0.25">
      <c r="B56" s="5">
        <v>30</v>
      </c>
      <c r="C56" s="5">
        <v>1</v>
      </c>
      <c r="D56" s="6">
        <v>-0.115226386784132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1.55026304982422</v>
      </c>
      <c r="K56" s="6">
        <v>0</v>
      </c>
      <c r="L56" s="6">
        <v>-3.3635069029770102</v>
      </c>
      <c r="M56" s="6">
        <v>0</v>
      </c>
      <c r="N56" s="6">
        <v>0</v>
      </c>
      <c r="O56" s="6">
        <v>-0.97719277700930596</v>
      </c>
      <c r="P56" s="6">
        <v>0</v>
      </c>
      <c r="Q56" s="6">
        <v>0</v>
      </c>
      <c r="R56" s="6">
        <v>-0.52092508907213197</v>
      </c>
      <c r="S56" s="6">
        <v>0.68681057133074597</v>
      </c>
      <c r="T56" s="6">
        <v>-2.5621310314742298</v>
      </c>
      <c r="U56" s="6">
        <v>0</v>
      </c>
      <c r="V56" s="6">
        <v>-1.8707359775874399</v>
      </c>
      <c r="W56" s="6">
        <v>-0.66575646677963995</v>
      </c>
      <c r="X56" s="6">
        <v>-0.79811175867999995</v>
      </c>
      <c r="Y56" s="6">
        <v>0</v>
      </c>
      <c r="Z56" s="6">
        <v>0</v>
      </c>
      <c r="AA56" s="6">
        <v>0.81758818909296005</v>
      </c>
      <c r="AB56" s="6">
        <v>0</v>
      </c>
      <c r="AC56" s="6">
        <v>-1.23076731856451</v>
      </c>
      <c r="AD56" s="6">
        <v>2.4786920126224601</v>
      </c>
      <c r="AE56" s="6">
        <v>-0.23137876693723999</v>
      </c>
      <c r="AF56" s="6">
        <v>-1.0735329443907</v>
      </c>
      <c r="AG56" s="6">
        <v>2.4743123971640499</v>
      </c>
      <c r="AH56" s="6">
        <v>0</v>
      </c>
      <c r="AI56" s="6">
        <v>-1.16743774531783</v>
      </c>
      <c r="AJ56" s="6">
        <v>0</v>
      </c>
      <c r="AK56" s="6">
        <v>1.90775135414494</v>
      </c>
      <c r="AL56" s="6">
        <v>-1.7828755397492899</v>
      </c>
      <c r="AM56" s="6">
        <v>1.6214049791665699</v>
      </c>
      <c r="AN56" s="6">
        <v>-1.6876009775657601</v>
      </c>
      <c r="AO56" s="6">
        <v>0</v>
      </c>
      <c r="AP56" s="6">
        <v>-1.98737091225837</v>
      </c>
      <c r="AQ56" s="6">
        <v>0</v>
      </c>
      <c r="AR56" s="6">
        <v>1.7768551825127901</v>
      </c>
      <c r="AS56" s="6">
        <v>3.40233402122186</v>
      </c>
      <c r="AT56" s="6">
        <v>-1.4732915213341999</v>
      </c>
      <c r="AU56" s="6">
        <v>3.8773304860993498</v>
      </c>
      <c r="AV56" s="6">
        <v>1.0958776777987</v>
      </c>
      <c r="AW56" s="6">
        <v>0</v>
      </c>
      <c r="AX56" s="6">
        <v>1.6191265005950199</v>
      </c>
      <c r="AY56" s="6">
        <v>-1.8882616174673901</v>
      </c>
      <c r="AZ56" s="6">
        <v>0</v>
      </c>
      <c r="BA56" s="6">
        <v>0.33203353322217399</v>
      </c>
      <c r="BB56" s="6">
        <v>1.11828790116216</v>
      </c>
      <c r="BC56" s="6">
        <v>117.06328634047701</v>
      </c>
    </row>
    <row r="57" spans="2:55" x14ac:dyDescent="0.25">
      <c r="B57" s="5">
        <v>30</v>
      </c>
      <c r="C57" s="5">
        <v>2</v>
      </c>
      <c r="D57" s="6">
        <v>1.4259445343130099</v>
      </c>
      <c r="E57" s="6">
        <v>0</v>
      </c>
      <c r="F57" s="6">
        <v>0</v>
      </c>
      <c r="G57" s="6">
        <v>0.85431697111417504</v>
      </c>
      <c r="H57" s="6">
        <v>-1.4437675551432301</v>
      </c>
      <c r="I57" s="6">
        <v>0</v>
      </c>
      <c r="J57" s="6">
        <v>1.4517261126052301</v>
      </c>
      <c r="K57" s="6">
        <v>0</v>
      </c>
      <c r="L57" s="6">
        <v>-1.0899397727695299</v>
      </c>
      <c r="M57" s="6">
        <v>0</v>
      </c>
      <c r="N57" s="6">
        <v>0</v>
      </c>
      <c r="O57" s="6">
        <v>0</v>
      </c>
      <c r="P57" s="6">
        <v>0</v>
      </c>
      <c r="Q57" s="6">
        <v>-0.185713244487758</v>
      </c>
      <c r="R57" s="6">
        <v>0</v>
      </c>
      <c r="S57" s="6">
        <v>0</v>
      </c>
      <c r="T57" s="6">
        <v>-0.73462917493286195</v>
      </c>
      <c r="U57" s="6">
        <v>1.0792502133367701</v>
      </c>
      <c r="V57" s="6">
        <v>0</v>
      </c>
      <c r="W57" s="6">
        <v>4.3033247707339903</v>
      </c>
      <c r="X57" s="6">
        <v>2.1698211835400398</v>
      </c>
      <c r="Y57" s="6">
        <v>1.0538888347548701</v>
      </c>
      <c r="Z57" s="6">
        <v>0</v>
      </c>
      <c r="AA57" s="6">
        <v>1.5322118380470999</v>
      </c>
      <c r="AB57" s="6">
        <v>2.2528588198652102</v>
      </c>
      <c r="AC57" s="6">
        <v>0</v>
      </c>
      <c r="AD57" s="6">
        <v>3.2055850428802102</v>
      </c>
      <c r="AE57" s="6">
        <v>0.79264800842554695</v>
      </c>
      <c r="AF57" s="6">
        <v>0.88739400541975699</v>
      </c>
      <c r="AG57" s="6">
        <v>0.85073317961525097</v>
      </c>
      <c r="AH57" s="6">
        <v>-1.5737185900161399</v>
      </c>
      <c r="AI57" s="6">
        <v>-0.66859303972157502</v>
      </c>
      <c r="AJ57" s="6">
        <v>0</v>
      </c>
      <c r="AK57" s="6">
        <v>2.59030205997469</v>
      </c>
      <c r="AL57" s="6">
        <v>0</v>
      </c>
      <c r="AM57" s="6">
        <v>1.72464442026998</v>
      </c>
      <c r="AN57" s="6">
        <v>-1.36650144296942</v>
      </c>
      <c r="AO57" s="6">
        <v>-1.0221852812396599</v>
      </c>
      <c r="AP57" s="6">
        <v>-1.77582285639838</v>
      </c>
      <c r="AQ57" s="6">
        <v>0.66102233210380201</v>
      </c>
      <c r="AR57" s="6">
        <v>0</v>
      </c>
      <c r="AS57" s="6">
        <v>0</v>
      </c>
      <c r="AT57" s="6">
        <v>0.63253696978145801</v>
      </c>
      <c r="AU57" s="6">
        <v>0</v>
      </c>
      <c r="AV57" s="6">
        <v>0</v>
      </c>
      <c r="AW57" s="6">
        <v>1.9398768911042501</v>
      </c>
      <c r="AX57" s="6">
        <v>0</v>
      </c>
      <c r="AY57" s="6">
        <v>-2.6578598715055901</v>
      </c>
      <c r="AZ57" s="6">
        <v>-0.68781234359097199</v>
      </c>
      <c r="BA57" s="6">
        <v>0.65190202017453502</v>
      </c>
      <c r="BB57" s="6">
        <v>1.0621396426905101</v>
      </c>
      <c r="BC57" s="6">
        <v>51.643952989636901</v>
      </c>
    </row>
    <row r="58" spans="2:55" x14ac:dyDescent="0.25">
      <c r="B58" s="5">
        <v>30</v>
      </c>
      <c r="C58" s="5">
        <v>3</v>
      </c>
      <c r="D58" s="6">
        <v>1.5349326312579901</v>
      </c>
      <c r="E58" s="6">
        <v>-1.6748415449999301</v>
      </c>
      <c r="F58" s="6">
        <v>0.40073908772371403</v>
      </c>
      <c r="G58" s="6">
        <v>0</v>
      </c>
      <c r="H58" s="6">
        <v>-0.66212201880099697</v>
      </c>
      <c r="I58" s="6">
        <v>0.69611867773978997</v>
      </c>
      <c r="J58" s="6">
        <v>0</v>
      </c>
      <c r="K58" s="6">
        <v>-0.53978087744821202</v>
      </c>
      <c r="L58" s="6">
        <v>-0.93259830457506598</v>
      </c>
      <c r="M58" s="6">
        <v>-0.16179124279406401</v>
      </c>
      <c r="N58" s="6">
        <v>1.27655007983919</v>
      </c>
      <c r="O58" s="6">
        <v>0</v>
      </c>
      <c r="P58" s="6">
        <v>0</v>
      </c>
      <c r="Q58" s="6">
        <v>1.04686798882564</v>
      </c>
      <c r="R58" s="6">
        <v>-1.35770609876091</v>
      </c>
      <c r="S58" s="6">
        <v>0</v>
      </c>
      <c r="T58" s="6">
        <v>0</v>
      </c>
      <c r="U58" s="6">
        <v>0</v>
      </c>
      <c r="V58" s="6">
        <v>0</v>
      </c>
      <c r="W58" s="6">
        <v>2.8427330472843</v>
      </c>
      <c r="X58" s="6">
        <v>1.5863065299993999</v>
      </c>
      <c r="Y58" s="6">
        <v>2.0299983162761501</v>
      </c>
      <c r="Z58" s="6">
        <v>-1.1231914565786101</v>
      </c>
      <c r="AA58" s="6">
        <v>2.3924519155341999</v>
      </c>
      <c r="AB58" s="6">
        <v>2.4595739251056399</v>
      </c>
      <c r="AC58" s="6">
        <v>0.87153917405895598</v>
      </c>
      <c r="AD58" s="6">
        <v>2.6876838739761402</v>
      </c>
      <c r="AE58" s="6">
        <v>0.88250928123688199</v>
      </c>
      <c r="AF58" s="6">
        <v>0.642357534540268</v>
      </c>
      <c r="AG58" s="6">
        <v>0</v>
      </c>
      <c r="AH58" s="6">
        <v>-2.2955885113991199</v>
      </c>
      <c r="AI58" s="6">
        <v>0</v>
      </c>
      <c r="AJ58" s="6">
        <v>-0.84345448216573804</v>
      </c>
      <c r="AK58" s="6">
        <v>1.9543997299890301</v>
      </c>
      <c r="AL58" s="6">
        <v>0.684406949302654</v>
      </c>
      <c r="AM58" s="6">
        <v>0</v>
      </c>
      <c r="AN58" s="6">
        <v>0</v>
      </c>
      <c r="AO58" s="6">
        <v>0</v>
      </c>
      <c r="AP58" s="6">
        <v>-1.3468284476480501</v>
      </c>
      <c r="AQ58" s="6">
        <v>0</v>
      </c>
      <c r="AR58" s="6">
        <v>0.93407676043057697</v>
      </c>
      <c r="AS58" s="6">
        <v>0</v>
      </c>
      <c r="AT58" s="6">
        <v>-1.5279662043575799</v>
      </c>
      <c r="AU58" s="6">
        <v>0</v>
      </c>
      <c r="AV58" s="6">
        <v>0</v>
      </c>
      <c r="AW58" s="6">
        <v>0</v>
      </c>
      <c r="AX58" s="6">
        <v>0</v>
      </c>
      <c r="AY58" s="6">
        <v>-3.6835432861148201</v>
      </c>
      <c r="AZ58" s="6">
        <v>-1.2399022525022501</v>
      </c>
      <c r="BA58" s="6">
        <v>0</v>
      </c>
      <c r="BB58" s="6">
        <v>0.88340142817788403</v>
      </c>
      <c r="BC58" s="6">
        <v>25.212323829702498</v>
      </c>
    </row>
    <row r="59" spans="2:55" x14ac:dyDescent="0.25">
      <c r="B59" s="5">
        <v>30</v>
      </c>
      <c r="C59" s="5">
        <v>4</v>
      </c>
      <c r="D59" s="6">
        <v>-7.6933197939246106E-2</v>
      </c>
      <c r="E59" s="6">
        <v>-1.62850592559903</v>
      </c>
      <c r="F59" s="6">
        <v>-1.00890371458632</v>
      </c>
      <c r="G59" s="6">
        <v>3.8641771436144801</v>
      </c>
      <c r="H59" s="6">
        <v>-1.6664210507510999</v>
      </c>
      <c r="I59" s="6">
        <v>2.8396092574387</v>
      </c>
      <c r="J59" s="6">
        <v>0</v>
      </c>
      <c r="K59" s="6">
        <v>0</v>
      </c>
      <c r="L59" s="6">
        <v>-0.364736377334266</v>
      </c>
      <c r="M59" s="6">
        <v>-0.72066693061493303</v>
      </c>
      <c r="N59" s="6">
        <v>0</v>
      </c>
      <c r="O59" s="6">
        <v>0.81750686353012303</v>
      </c>
      <c r="P59" s="6">
        <v>-2.46651828620633</v>
      </c>
      <c r="Q59" s="6">
        <v>0.72784739917725005</v>
      </c>
      <c r="R59" s="6">
        <v>-2.9024027421251199</v>
      </c>
      <c r="S59" s="6">
        <v>0</v>
      </c>
      <c r="T59" s="6">
        <v>-2.0811540577302901</v>
      </c>
      <c r="U59" s="6">
        <v>0</v>
      </c>
      <c r="V59" s="6">
        <v>1.48000607114559</v>
      </c>
      <c r="W59" s="6">
        <v>1.49199089613402</v>
      </c>
      <c r="X59" s="6">
        <v>2.8295084513420798</v>
      </c>
      <c r="Y59" s="6">
        <v>1.82448962423938</v>
      </c>
      <c r="Z59" s="6">
        <v>-1.1986139271203899</v>
      </c>
      <c r="AA59" s="6">
        <v>2.4965073634786701</v>
      </c>
      <c r="AB59" s="6">
        <v>0</v>
      </c>
      <c r="AC59" s="6">
        <v>0</v>
      </c>
      <c r="AD59" s="6">
        <v>3.5717929725869002</v>
      </c>
      <c r="AE59" s="6">
        <v>0</v>
      </c>
      <c r="AF59" s="6">
        <v>1.1147985667524101</v>
      </c>
      <c r="AG59" s="6">
        <v>0.55206605604219305</v>
      </c>
      <c r="AH59" s="6">
        <v>-1.8772063936408301</v>
      </c>
      <c r="AI59" s="6">
        <v>0</v>
      </c>
      <c r="AJ59" s="6">
        <v>0</v>
      </c>
      <c r="AK59" s="6">
        <v>2.68763096353692</v>
      </c>
      <c r="AL59" s="6">
        <v>0</v>
      </c>
      <c r="AM59" s="6">
        <v>0</v>
      </c>
      <c r="AN59" s="6">
        <v>0</v>
      </c>
      <c r="AO59" s="6">
        <v>0</v>
      </c>
      <c r="AP59" s="6">
        <v>0</v>
      </c>
      <c r="AQ59" s="6">
        <v>-2.4146810748691099</v>
      </c>
      <c r="AR59" s="6">
        <v>0</v>
      </c>
      <c r="AS59" s="6">
        <v>0</v>
      </c>
      <c r="AT59" s="6">
        <v>0</v>
      </c>
      <c r="AU59" s="6">
        <v>0</v>
      </c>
      <c r="AV59" s="6">
        <v>1.01486368749984</v>
      </c>
      <c r="AW59" s="6">
        <v>1.55237793623151</v>
      </c>
      <c r="AX59" s="6">
        <v>0</v>
      </c>
      <c r="AY59" s="6">
        <v>-2.9402567554522401</v>
      </c>
      <c r="AZ59" s="6">
        <v>-2.3840404896010901</v>
      </c>
      <c r="BA59" s="6">
        <v>1.353122197779</v>
      </c>
      <c r="BB59" s="6">
        <v>0.58401432080987004</v>
      </c>
      <c r="BC59" s="6">
        <v>78.336896909817796</v>
      </c>
    </row>
    <row r="60" spans="2:55" x14ac:dyDescent="0.25">
      <c r="B60" s="5">
        <v>30</v>
      </c>
      <c r="C60" s="5">
        <v>5</v>
      </c>
      <c r="D60" s="6">
        <v>-0.30638267388005502</v>
      </c>
      <c r="E60" s="6">
        <v>-3.0163584250858699</v>
      </c>
      <c r="F60" s="6">
        <v>0</v>
      </c>
      <c r="G60" s="6">
        <v>0</v>
      </c>
      <c r="H60" s="6">
        <v>0</v>
      </c>
      <c r="I60" s="6">
        <v>0.43055342114811501</v>
      </c>
      <c r="J60" s="6">
        <v>1.07917615890546</v>
      </c>
      <c r="K60" s="6">
        <v>0</v>
      </c>
      <c r="L60" s="6">
        <v>-2.5867655765130202</v>
      </c>
      <c r="M60" s="6">
        <v>1.84174568664274</v>
      </c>
      <c r="N60" s="6">
        <v>0</v>
      </c>
      <c r="O60" s="6">
        <v>0</v>
      </c>
      <c r="P60" s="6">
        <v>0.51884031447974399</v>
      </c>
      <c r="Q60" s="6">
        <v>0.39205023466664801</v>
      </c>
      <c r="R60" s="6">
        <v>-2.4288347520856401</v>
      </c>
      <c r="S60" s="6">
        <v>-0.79120159579528004</v>
      </c>
      <c r="T60" s="6">
        <v>-1.5201003621537299</v>
      </c>
      <c r="U60" s="6">
        <v>0</v>
      </c>
      <c r="V60" s="6">
        <v>0</v>
      </c>
      <c r="W60" s="6">
        <v>0</v>
      </c>
      <c r="X60" s="6">
        <v>0</v>
      </c>
      <c r="Y60" s="6">
        <v>0.51800976893157202</v>
      </c>
      <c r="Z60" s="6">
        <v>0</v>
      </c>
      <c r="AA60" s="6">
        <v>0.54190168613488598</v>
      </c>
      <c r="AB60" s="6">
        <v>-0.78489328829653804</v>
      </c>
      <c r="AC60" s="6">
        <v>0.58138842307025795</v>
      </c>
      <c r="AD60" s="6">
        <v>-0.95458927655675596</v>
      </c>
      <c r="AE60" s="6">
        <v>0</v>
      </c>
      <c r="AF60" s="6">
        <v>0</v>
      </c>
      <c r="AG60" s="6">
        <v>0</v>
      </c>
      <c r="AH60" s="6">
        <v>-1.774029515596</v>
      </c>
      <c r="AI60" s="6">
        <v>1.5596543645434999</v>
      </c>
      <c r="AJ60" s="6">
        <v>0</v>
      </c>
      <c r="AK60" s="6">
        <v>1.7906738875591699</v>
      </c>
      <c r="AL60" s="6">
        <v>0</v>
      </c>
      <c r="AM60" s="6">
        <v>-0.69271428029456505</v>
      </c>
      <c r="AN60" s="6">
        <v>-1.1378258077668399</v>
      </c>
      <c r="AO60" s="6">
        <v>0</v>
      </c>
      <c r="AP60" s="6">
        <v>-2.5992764893923299</v>
      </c>
      <c r="AQ60" s="6">
        <v>0.59512053874020499</v>
      </c>
      <c r="AR60" s="6">
        <v>-0.980831806413199</v>
      </c>
      <c r="AS60" s="6">
        <v>1.86947293996032</v>
      </c>
      <c r="AT60" s="6">
        <v>-3.5474191372092401</v>
      </c>
      <c r="AU60" s="6">
        <v>1.7182290909359801</v>
      </c>
      <c r="AV60" s="6">
        <v>0</v>
      </c>
      <c r="AW60" s="6">
        <v>-1.22898114690645</v>
      </c>
      <c r="AX60" s="6">
        <v>0.54119157541110896</v>
      </c>
      <c r="AY60" s="6">
        <v>-0.86923124554404296</v>
      </c>
      <c r="AZ60" s="6">
        <v>0</v>
      </c>
      <c r="BA60" s="6">
        <v>0</v>
      </c>
      <c r="BB60" s="6">
        <v>-0.551095743645583</v>
      </c>
      <c r="BC60" s="6">
        <v>130.25793774872599</v>
      </c>
    </row>
    <row r="61" spans="2:55" x14ac:dyDescent="0.25">
      <c r="B61" s="5">
        <v>30</v>
      </c>
      <c r="C61" s="5">
        <v>6</v>
      </c>
      <c r="D61" s="6">
        <v>1.8124989509626099</v>
      </c>
      <c r="E61" s="6">
        <v>-1.6836624183001001</v>
      </c>
      <c r="F61" s="6">
        <v>0</v>
      </c>
      <c r="G61" s="6">
        <v>0</v>
      </c>
      <c r="H61" s="6">
        <v>0</v>
      </c>
      <c r="I61" s="6">
        <v>1.82876975185569</v>
      </c>
      <c r="J61" s="6">
        <v>0</v>
      </c>
      <c r="K61" s="6">
        <v>1.04276582621687</v>
      </c>
      <c r="L61" s="6">
        <v>-2.11178816902581</v>
      </c>
      <c r="M61" s="6">
        <v>1.0832746912196101</v>
      </c>
      <c r="N61" s="6">
        <v>2.3915523964660501</v>
      </c>
      <c r="O61" s="6">
        <v>0</v>
      </c>
      <c r="P61" s="6">
        <v>0</v>
      </c>
      <c r="Q61" s="6">
        <v>1.4790255876124301</v>
      </c>
      <c r="R61" s="6">
        <v>-1.0856379221174901</v>
      </c>
      <c r="S61" s="6">
        <v>1.23015689518295</v>
      </c>
      <c r="T61" s="6">
        <v>1.1901202776903299</v>
      </c>
      <c r="U61" s="6">
        <v>0</v>
      </c>
      <c r="V61" s="6">
        <v>0</v>
      </c>
      <c r="W61" s="6">
        <v>0</v>
      </c>
      <c r="X61" s="6">
        <v>0.93370054542469705</v>
      </c>
      <c r="Y61" s="6">
        <v>1.2350655568792801</v>
      </c>
      <c r="Z61" s="6">
        <v>-2.6424892354763698</v>
      </c>
      <c r="AA61" s="6">
        <v>2.91017892854126</v>
      </c>
      <c r="AB61" s="6">
        <v>1.12405318572975</v>
      </c>
      <c r="AC61" s="6">
        <v>0</v>
      </c>
      <c r="AD61" s="6">
        <v>3.5716978400836901</v>
      </c>
      <c r="AE61" s="6">
        <v>1.94275618601616</v>
      </c>
      <c r="AF61" s="6">
        <v>0</v>
      </c>
      <c r="AG61" s="6">
        <v>0</v>
      </c>
      <c r="AH61" s="6">
        <v>0</v>
      </c>
      <c r="AI61" s="6">
        <v>0</v>
      </c>
      <c r="AJ61" s="6">
        <v>0</v>
      </c>
      <c r="AK61" s="6">
        <v>2.71617047358147</v>
      </c>
      <c r="AL61" s="6">
        <v>0</v>
      </c>
      <c r="AM61" s="6">
        <v>0.72064891444475399</v>
      </c>
      <c r="AN61" s="6">
        <v>-0.77509867192178505</v>
      </c>
      <c r="AO61" s="6">
        <v>0</v>
      </c>
      <c r="AP61" s="6">
        <v>0</v>
      </c>
      <c r="AQ61" s="6">
        <v>1.2463844439551099</v>
      </c>
      <c r="AR61" s="6">
        <v>2.3385059461529201</v>
      </c>
      <c r="AS61" s="6">
        <v>1.51579510077649</v>
      </c>
      <c r="AT61" s="6">
        <v>-2.3406280731111599</v>
      </c>
      <c r="AU61" s="6">
        <v>1.37348899320622</v>
      </c>
      <c r="AV61" s="6">
        <v>0</v>
      </c>
      <c r="AW61" s="6">
        <v>-1.3157045089398101</v>
      </c>
      <c r="AX61" s="6">
        <v>0</v>
      </c>
      <c r="AY61" s="6">
        <v>-2.1016925287499202</v>
      </c>
      <c r="AZ61" s="6">
        <v>-1.0229843316092999</v>
      </c>
      <c r="BA61" s="6">
        <v>-1.84092457181784</v>
      </c>
      <c r="BB61" s="6">
        <v>0.59183302849994102</v>
      </c>
      <c r="BC61" s="6">
        <v>58.780106468763201</v>
      </c>
    </row>
    <row r="62" spans="2:55" x14ac:dyDescent="0.25">
      <c r="B62" s="5">
        <v>30</v>
      </c>
      <c r="C62" s="5">
        <v>7</v>
      </c>
      <c r="D62" s="6">
        <v>1.10478330541647</v>
      </c>
      <c r="E62" s="6">
        <v>0.41568707921579301</v>
      </c>
      <c r="F62" s="6">
        <v>0.96942840316691203</v>
      </c>
      <c r="G62" s="6">
        <v>0</v>
      </c>
      <c r="H62" s="6">
        <v>0</v>
      </c>
      <c r="I62" s="6">
        <v>0.76897267879519104</v>
      </c>
      <c r="J62" s="6">
        <v>1.1636066268380401</v>
      </c>
      <c r="K62" s="6">
        <v>0</v>
      </c>
      <c r="L62" s="6">
        <v>-1.9887682245543099</v>
      </c>
      <c r="M62" s="6">
        <v>1.6868209004548</v>
      </c>
      <c r="N62" s="6">
        <v>1.1932072524507999</v>
      </c>
      <c r="O62" s="6">
        <v>-1.47987925334288</v>
      </c>
      <c r="P62" s="6">
        <v>1.4805736707325701</v>
      </c>
      <c r="Q62" s="6">
        <v>0.93800062178041899</v>
      </c>
      <c r="R62" s="6">
        <v>0</v>
      </c>
      <c r="S62" s="6">
        <v>0</v>
      </c>
      <c r="T62" s="6">
        <v>0</v>
      </c>
      <c r="U62" s="6">
        <v>1.39402356349856</v>
      </c>
      <c r="V62" s="6">
        <v>0</v>
      </c>
      <c r="W62" s="6">
        <v>2.4512758170800399</v>
      </c>
      <c r="X62" s="6">
        <v>0</v>
      </c>
      <c r="Y62" s="6">
        <v>1.16578477026129</v>
      </c>
      <c r="Z62" s="6">
        <v>0</v>
      </c>
      <c r="AA62" s="6">
        <v>2.4951721714987301</v>
      </c>
      <c r="AB62" s="6">
        <v>1.9068129755316301</v>
      </c>
      <c r="AC62" s="6">
        <v>0</v>
      </c>
      <c r="AD62" s="6">
        <v>2.8614096536100702</v>
      </c>
      <c r="AE62" s="6">
        <v>1.00698332953022</v>
      </c>
      <c r="AF62" s="6">
        <v>0</v>
      </c>
      <c r="AG62" s="6">
        <v>0</v>
      </c>
      <c r="AH62" s="6">
        <v>-2.5599904680261401</v>
      </c>
      <c r="AI62" s="6">
        <v>0</v>
      </c>
      <c r="AJ62" s="6">
        <v>-0.419964554690064</v>
      </c>
      <c r="AK62" s="6">
        <v>3.4933601493492699</v>
      </c>
      <c r="AL62" s="6">
        <v>0</v>
      </c>
      <c r="AM62" s="6">
        <v>1.5179890902212501</v>
      </c>
      <c r="AN62" s="6">
        <v>0</v>
      </c>
      <c r="AO62" s="6">
        <v>-0.47740770355754603</v>
      </c>
      <c r="AP62" s="6">
        <v>-2.5210715043251999</v>
      </c>
      <c r="AQ62" s="6">
        <v>1.1132797037675299</v>
      </c>
      <c r="AR62" s="6">
        <v>0</v>
      </c>
      <c r="AS62" s="6">
        <v>2.26182525552528</v>
      </c>
      <c r="AT62" s="6">
        <v>-2.5920638964575899</v>
      </c>
      <c r="AU62" s="6">
        <v>1.3567359065826301</v>
      </c>
      <c r="AV62" s="6">
        <v>0</v>
      </c>
      <c r="AW62" s="6">
        <v>0</v>
      </c>
      <c r="AX62" s="6">
        <v>0</v>
      </c>
      <c r="AY62" s="6">
        <v>-1.82892201507626</v>
      </c>
      <c r="AZ62" s="6">
        <v>0</v>
      </c>
      <c r="BA62" s="6">
        <v>-0.25893044554032602</v>
      </c>
      <c r="BB62" s="6">
        <v>1.0164166851513701</v>
      </c>
      <c r="BC62" s="6">
        <v>36.076447397277697</v>
      </c>
    </row>
    <row r="63" spans="2:55" x14ac:dyDescent="0.25">
      <c r="B63" s="5">
        <v>30</v>
      </c>
      <c r="C63" s="5">
        <v>8</v>
      </c>
      <c r="D63" s="6">
        <v>-0.62595571981034104</v>
      </c>
      <c r="E63" s="6">
        <v>0</v>
      </c>
      <c r="F63" s="6">
        <v>0</v>
      </c>
      <c r="G63" s="6">
        <v>2.54081541057977</v>
      </c>
      <c r="H63" s="6">
        <v>0</v>
      </c>
      <c r="I63" s="6">
        <v>2.8212705832003699</v>
      </c>
      <c r="J63" s="6">
        <v>-1.4245938825301201</v>
      </c>
      <c r="K63" s="6">
        <v>0.24417232524354199</v>
      </c>
      <c r="L63" s="6">
        <v>0</v>
      </c>
      <c r="M63" s="6">
        <v>0.62488845323112097</v>
      </c>
      <c r="N63" s="6">
        <v>0.63605718119360499</v>
      </c>
      <c r="O63" s="6">
        <v>-1.1406802335850901</v>
      </c>
      <c r="P63" s="6">
        <v>-1.2530430736126601</v>
      </c>
      <c r="Q63" s="6">
        <v>1.04420559194714</v>
      </c>
      <c r="R63" s="6">
        <v>-0.38079351500830699</v>
      </c>
      <c r="S63" s="6">
        <v>0</v>
      </c>
      <c r="T63" s="6">
        <v>0</v>
      </c>
      <c r="U63" s="6">
        <v>1.75670095948175</v>
      </c>
      <c r="V63" s="6">
        <v>1.2307737329500801</v>
      </c>
      <c r="W63" s="6">
        <v>2.2437458225594198</v>
      </c>
      <c r="X63" s="6">
        <v>3.95026580008988</v>
      </c>
      <c r="Y63" s="6">
        <v>2.5108508763656001</v>
      </c>
      <c r="Z63" s="6">
        <v>-3.0525919044558498</v>
      </c>
      <c r="AA63" s="6">
        <v>2.3272218599863099</v>
      </c>
      <c r="AB63" s="6">
        <v>0</v>
      </c>
      <c r="AC63" s="6">
        <v>0</v>
      </c>
      <c r="AD63" s="6">
        <v>2.7953596286045901</v>
      </c>
      <c r="AE63" s="6">
        <v>0</v>
      </c>
      <c r="AF63" s="6">
        <v>2.03159437549904</v>
      </c>
      <c r="AG63" s="6">
        <v>-0.80389230332934503</v>
      </c>
      <c r="AH63" s="6">
        <v>0</v>
      </c>
      <c r="AI63" s="6">
        <v>0</v>
      </c>
      <c r="AJ63" s="6">
        <v>-0.95784224095756598</v>
      </c>
      <c r="AK63" s="6">
        <v>4.4205348722630102</v>
      </c>
      <c r="AL63" s="6">
        <v>0</v>
      </c>
      <c r="AM63" s="6">
        <v>0.383783982685102</v>
      </c>
      <c r="AN63" s="6">
        <v>0.40186903389286599</v>
      </c>
      <c r="AO63" s="6">
        <v>-3.5832744771304599</v>
      </c>
      <c r="AP63" s="6">
        <v>0</v>
      </c>
      <c r="AQ63" s="6">
        <v>-0.57295983441499099</v>
      </c>
      <c r="AR63" s="6">
        <v>0</v>
      </c>
      <c r="AS63" s="6">
        <v>0</v>
      </c>
      <c r="AT63" s="6">
        <v>0</v>
      </c>
      <c r="AU63" s="6">
        <v>-0.406744839033088</v>
      </c>
      <c r="AV63" s="6">
        <v>0</v>
      </c>
      <c r="AW63" s="6">
        <v>2.7242710538355102</v>
      </c>
      <c r="AX63" s="6">
        <v>0</v>
      </c>
      <c r="AY63" s="6">
        <v>0</v>
      </c>
      <c r="AZ63" s="6">
        <v>-1.5223965422422501</v>
      </c>
      <c r="BA63" s="6">
        <v>0</v>
      </c>
      <c r="BB63" s="6">
        <v>1.14538428320781</v>
      </c>
      <c r="BC63" s="6">
        <v>88.362824140539601</v>
      </c>
    </row>
    <row r="64" spans="2:55" x14ac:dyDescent="0.25">
      <c r="B64" s="5">
        <v>30</v>
      </c>
      <c r="C64" s="5">
        <v>9</v>
      </c>
      <c r="D64" s="6">
        <v>2.34710861644907</v>
      </c>
      <c r="E64" s="6">
        <v>-0.47421440051001701</v>
      </c>
      <c r="F64" s="6">
        <v>0</v>
      </c>
      <c r="G64" s="6">
        <v>0</v>
      </c>
      <c r="H64" s="6">
        <v>-1.0472447729502801</v>
      </c>
      <c r="I64" s="6">
        <v>1.3898322662892</v>
      </c>
      <c r="J64" s="6">
        <v>0</v>
      </c>
      <c r="K64" s="6">
        <v>-0.971826492424962</v>
      </c>
      <c r="L64" s="6">
        <v>0</v>
      </c>
      <c r="M64" s="6">
        <v>0.51179873071868798</v>
      </c>
      <c r="N64" s="6">
        <v>3.6871360204971602</v>
      </c>
      <c r="O64" s="6">
        <v>0</v>
      </c>
      <c r="P64" s="6">
        <v>0</v>
      </c>
      <c r="Q64" s="6">
        <v>0.81661900725139402</v>
      </c>
      <c r="R64" s="6">
        <v>0</v>
      </c>
      <c r="S64" s="6">
        <v>0</v>
      </c>
      <c r="T64" s="6">
        <v>1.6517930667249801</v>
      </c>
      <c r="U64" s="6">
        <v>0</v>
      </c>
      <c r="V64" s="6">
        <v>2.07262702628078</v>
      </c>
      <c r="W64" s="6">
        <v>1.3103108433389801</v>
      </c>
      <c r="X64" s="6">
        <v>1.0537519977585801</v>
      </c>
      <c r="Y64" s="6">
        <v>1.67537936485911</v>
      </c>
      <c r="Z64" s="6">
        <v>-1.9896528677560601</v>
      </c>
      <c r="AA64" s="6">
        <v>2.4794835653196299</v>
      </c>
      <c r="AB64" s="6">
        <v>1.68634848334135</v>
      </c>
      <c r="AC64" s="6">
        <v>0</v>
      </c>
      <c r="AD64" s="6">
        <v>4.2135934242156496</v>
      </c>
      <c r="AE64" s="6">
        <v>2.1952115968360402</v>
      </c>
      <c r="AF64" s="6">
        <v>1.1171551038607801</v>
      </c>
      <c r="AG64" s="6">
        <v>0.66808002436314395</v>
      </c>
      <c r="AH64" s="6">
        <v>0</v>
      </c>
      <c r="AI64" s="6">
        <v>-0.25742212823856098</v>
      </c>
      <c r="AJ64" s="6">
        <v>0</v>
      </c>
      <c r="AK64" s="6">
        <v>2.12513399890326</v>
      </c>
      <c r="AL64" s="6">
        <v>1.47292966306711</v>
      </c>
      <c r="AM64" s="6">
        <v>0.60072460830958896</v>
      </c>
      <c r="AN64" s="6">
        <v>0</v>
      </c>
      <c r="AO64" s="6">
        <v>0</v>
      </c>
      <c r="AP64" s="6">
        <v>-0.66037011320786498</v>
      </c>
      <c r="AQ64" s="6">
        <v>1.0277638258541799</v>
      </c>
      <c r="AR64" s="6">
        <v>1.5508276514377199</v>
      </c>
      <c r="AS64" s="6">
        <v>1.27406031416892</v>
      </c>
      <c r="AT64" s="6">
        <v>0</v>
      </c>
      <c r="AU64" s="6">
        <v>0</v>
      </c>
      <c r="AV64" s="6">
        <v>0</v>
      </c>
      <c r="AW64" s="6">
        <v>0</v>
      </c>
      <c r="AX64" s="6">
        <v>0</v>
      </c>
      <c r="AY64" s="6">
        <v>-2.9212178614603901</v>
      </c>
      <c r="AZ64" s="6">
        <v>-0.91684171575751106</v>
      </c>
      <c r="BA64" s="6">
        <v>0</v>
      </c>
      <c r="BB64" s="6">
        <v>0.98053330843049302</v>
      </c>
      <c r="BC64" s="6">
        <v>26.428420885305101</v>
      </c>
    </row>
    <row r="65" spans="2:55" x14ac:dyDescent="0.25">
      <c r="B65" s="5">
        <v>35</v>
      </c>
      <c r="C65" s="5">
        <v>0</v>
      </c>
      <c r="D65" s="6">
        <v>1.2798274602242099</v>
      </c>
      <c r="E65" s="6">
        <v>0</v>
      </c>
      <c r="F65" s="6">
        <v>0</v>
      </c>
      <c r="G65" s="6">
        <v>0.60061043116030499</v>
      </c>
      <c r="H65" s="6">
        <v>-2.1184684602706598</v>
      </c>
      <c r="I65" s="6">
        <v>0</v>
      </c>
      <c r="J65" s="6">
        <v>0</v>
      </c>
      <c r="K65" s="6">
        <v>-3.7584536665360102</v>
      </c>
      <c r="L65" s="6">
        <v>0</v>
      </c>
      <c r="M65" s="6">
        <v>-1.2862906692237099</v>
      </c>
      <c r="N65" s="6">
        <v>0</v>
      </c>
      <c r="O65" s="6">
        <v>0</v>
      </c>
      <c r="P65" s="6">
        <v>3.55894302461529</v>
      </c>
      <c r="Q65" s="6">
        <v>0.79255743988029104</v>
      </c>
      <c r="R65" s="6">
        <v>-2.6017228668034398</v>
      </c>
      <c r="S65" s="6">
        <v>1.0817546993203799</v>
      </c>
      <c r="T65" s="6">
        <v>0</v>
      </c>
      <c r="U65" s="6">
        <v>0</v>
      </c>
      <c r="V65" s="6">
        <v>0</v>
      </c>
      <c r="W65" s="6">
        <v>7.9041115022453203</v>
      </c>
      <c r="X65" s="6">
        <v>3.98155701093811</v>
      </c>
      <c r="Y65" s="6">
        <v>2.7072967123966598</v>
      </c>
      <c r="Z65" s="6">
        <v>2.4997518174036601</v>
      </c>
      <c r="AA65" s="6">
        <v>2.5232968165010901</v>
      </c>
      <c r="AB65" s="6">
        <v>7.2589846275717402</v>
      </c>
      <c r="AC65" s="6">
        <v>1.7127426965649499</v>
      </c>
      <c r="AD65" s="6">
        <v>6.1612001794815399</v>
      </c>
      <c r="AE65" s="6">
        <v>0.36228012294240902</v>
      </c>
      <c r="AF65" s="6">
        <v>0</v>
      </c>
      <c r="AG65" s="6">
        <v>0</v>
      </c>
      <c r="AH65" s="6">
        <v>-6.7845494202057797</v>
      </c>
      <c r="AI65" s="6">
        <v>0</v>
      </c>
      <c r="AJ65" s="6">
        <v>-3.2600704346700899</v>
      </c>
      <c r="AK65" s="6">
        <v>3.1085359071463401</v>
      </c>
      <c r="AL65" s="6">
        <v>0.56187958073770705</v>
      </c>
      <c r="AM65" s="6">
        <v>1.5025126236095201</v>
      </c>
      <c r="AN65" s="6">
        <v>1.79862913089308</v>
      </c>
      <c r="AO65" s="6">
        <v>1.1158208116027399</v>
      </c>
      <c r="AP65" s="6">
        <v>-4.0101233504648501</v>
      </c>
      <c r="AQ65" s="6">
        <v>0</v>
      </c>
      <c r="AR65" s="6">
        <v>0.61341135362939503</v>
      </c>
      <c r="AS65" s="6">
        <v>-3.6375716493371999</v>
      </c>
      <c r="AT65" s="6">
        <v>2.51628819066676</v>
      </c>
      <c r="AU65" s="6">
        <v>-1.29830964177028</v>
      </c>
      <c r="AV65" s="6">
        <v>0</v>
      </c>
      <c r="AW65" s="6">
        <v>3.0540278647775598</v>
      </c>
      <c r="AX65" s="6">
        <v>1.0703821390821999</v>
      </c>
      <c r="AY65" s="6">
        <v>-7.17143416247281</v>
      </c>
      <c r="AZ65" s="6">
        <v>-1.1712724643513099</v>
      </c>
      <c r="BA65" s="6">
        <v>2.4807623634690801</v>
      </c>
      <c r="BB65" s="6">
        <v>2.1014530766390802</v>
      </c>
      <c r="BC65" s="6">
        <v>158.48013752441099</v>
      </c>
    </row>
    <row r="66" spans="2:55" x14ac:dyDescent="0.25">
      <c r="B66" s="5">
        <v>35</v>
      </c>
      <c r="C66" s="5">
        <v>1</v>
      </c>
      <c r="D66" s="6">
        <v>-1.43589672733643</v>
      </c>
      <c r="E66" s="6">
        <v>-1.2458841153370701</v>
      </c>
      <c r="F66" s="6">
        <v>-0.482326473799429</v>
      </c>
      <c r="G66" s="6">
        <v>2.5114596104966398</v>
      </c>
      <c r="H66" s="6">
        <v>0</v>
      </c>
      <c r="I66" s="6">
        <v>-0.50384563330673104</v>
      </c>
      <c r="J66" s="6">
        <v>3.0500670560022001</v>
      </c>
      <c r="K66" s="6">
        <v>0.95120695395214605</v>
      </c>
      <c r="L66" s="6">
        <v>-4.2025141106871997</v>
      </c>
      <c r="M66" s="6">
        <v>0.93359957369334001</v>
      </c>
      <c r="N66" s="6">
        <v>-3.0583036758971698</v>
      </c>
      <c r="O66" s="6">
        <v>0</v>
      </c>
      <c r="P66" s="6">
        <v>0</v>
      </c>
      <c r="Q66" s="6">
        <v>0</v>
      </c>
      <c r="R66" s="6">
        <v>-1.87100332516474</v>
      </c>
      <c r="S66" s="6">
        <v>-0.52777641463508196</v>
      </c>
      <c r="T66" s="6">
        <v>-4.8428739142258799</v>
      </c>
      <c r="U66" s="6">
        <v>1.27542572459083</v>
      </c>
      <c r="V66" s="6">
        <v>-3.5748939878801198</v>
      </c>
      <c r="W66" s="6">
        <v>0</v>
      </c>
      <c r="X66" s="6">
        <v>-0.45825051341561801</v>
      </c>
      <c r="Y66" s="6">
        <v>-0.62746915781620805</v>
      </c>
      <c r="Z66" s="6">
        <v>-0.94837896674487598</v>
      </c>
      <c r="AA66" s="6">
        <v>0</v>
      </c>
      <c r="AB66" s="6">
        <v>-1.3558958910783201</v>
      </c>
      <c r="AC66" s="6">
        <v>-0.98151134799551498</v>
      </c>
      <c r="AD66" s="6">
        <v>1.15214964870112</v>
      </c>
      <c r="AE66" s="6">
        <v>-2.2389225404771</v>
      </c>
      <c r="AF66" s="6">
        <v>-1.01629990156311</v>
      </c>
      <c r="AG66" s="6">
        <v>0</v>
      </c>
      <c r="AH66" s="6">
        <v>-0.55435927942676499</v>
      </c>
      <c r="AI66" s="6">
        <v>0</v>
      </c>
      <c r="AJ66" s="6">
        <v>0</v>
      </c>
      <c r="AK66" s="6">
        <v>2.42324335191811</v>
      </c>
      <c r="AL66" s="6">
        <v>-2.16148593463015</v>
      </c>
      <c r="AM66" s="6">
        <v>1.98607420100545</v>
      </c>
      <c r="AN66" s="6">
        <v>-2.1307307082645299</v>
      </c>
      <c r="AO66" s="6">
        <v>0</v>
      </c>
      <c r="AP66" s="6">
        <v>0</v>
      </c>
      <c r="AQ66" s="6">
        <v>-1.1892432339847001</v>
      </c>
      <c r="AR66" s="6">
        <v>-1.5988295696344901</v>
      </c>
      <c r="AS66" s="6">
        <v>3.3714702884775001</v>
      </c>
      <c r="AT66" s="6">
        <v>-4.4082666138608504</v>
      </c>
      <c r="AU66" s="6">
        <v>2.9717448608422901</v>
      </c>
      <c r="AV66" s="6">
        <v>0.60245320358876098</v>
      </c>
      <c r="AW66" s="6">
        <v>0</v>
      </c>
      <c r="AX66" s="6">
        <v>0</v>
      </c>
      <c r="AY66" s="6">
        <v>0.52027941771058095</v>
      </c>
      <c r="AZ66" s="6">
        <v>0</v>
      </c>
      <c r="BA66" s="6">
        <v>0</v>
      </c>
      <c r="BB66" s="6">
        <v>1.0332100803363899</v>
      </c>
      <c r="BC66" s="6">
        <v>138.46601916402801</v>
      </c>
    </row>
    <row r="67" spans="2:55" x14ac:dyDescent="0.25">
      <c r="B67" s="5">
        <v>35</v>
      </c>
      <c r="C67" s="5">
        <v>2</v>
      </c>
      <c r="D67" s="6">
        <v>2.4614997737883901</v>
      </c>
      <c r="E67" s="6">
        <v>0</v>
      </c>
      <c r="F67" s="6">
        <v>0</v>
      </c>
      <c r="G67" s="6">
        <v>0.27841940816522098</v>
      </c>
      <c r="H67" s="6">
        <v>-0.86548147441100998</v>
      </c>
      <c r="I67" s="6">
        <v>0</v>
      </c>
      <c r="J67" s="6">
        <v>1.6248459571264899</v>
      </c>
      <c r="K67" s="6">
        <v>0.490624459374848</v>
      </c>
      <c r="L67" s="6">
        <v>-1.4153198258389801</v>
      </c>
      <c r="M67" s="6">
        <v>-0.71491850190400297</v>
      </c>
      <c r="N67" s="6">
        <v>0.98417050003451301</v>
      </c>
      <c r="O67" s="6">
        <v>0</v>
      </c>
      <c r="P67" s="6">
        <v>-1.43848561862353</v>
      </c>
      <c r="Q67" s="6">
        <v>0.59696229271461299</v>
      </c>
      <c r="R67" s="6">
        <v>-0.196229991273905</v>
      </c>
      <c r="S67" s="6">
        <v>0</v>
      </c>
      <c r="T67" s="6">
        <v>0</v>
      </c>
      <c r="U67" s="6">
        <v>0.78860018831627898</v>
      </c>
      <c r="V67" s="6">
        <v>-2.5316396346886401</v>
      </c>
      <c r="W67" s="6">
        <v>2.00113223500363</v>
      </c>
      <c r="X67" s="6">
        <v>2.08611775531485</v>
      </c>
      <c r="Y67" s="6">
        <v>1.4187233979429601</v>
      </c>
      <c r="Z67" s="6">
        <v>-1.70732972502602</v>
      </c>
      <c r="AA67" s="6">
        <v>2.5481516254019501</v>
      </c>
      <c r="AB67" s="6">
        <v>1.64380553931743</v>
      </c>
      <c r="AC67" s="6">
        <v>0</v>
      </c>
      <c r="AD67" s="6">
        <v>4.4284398924706796</v>
      </c>
      <c r="AE67" s="6">
        <v>1.8933095791872701</v>
      </c>
      <c r="AF67" s="6">
        <v>0</v>
      </c>
      <c r="AG67" s="6">
        <v>1.179750610201</v>
      </c>
      <c r="AH67" s="6">
        <v>0</v>
      </c>
      <c r="AI67" s="6">
        <v>-0.61968662180031397</v>
      </c>
      <c r="AJ67" s="6">
        <v>0</v>
      </c>
      <c r="AK67" s="6">
        <v>2.96388860159959</v>
      </c>
      <c r="AL67" s="6">
        <v>-0.994510004715079</v>
      </c>
      <c r="AM67" s="6">
        <v>1.57311898660413</v>
      </c>
      <c r="AN67" s="6">
        <v>-2.2766079753796502</v>
      </c>
      <c r="AO67" s="6">
        <v>-0.77354129322590903</v>
      </c>
      <c r="AP67" s="6">
        <v>-1.34867516654285</v>
      </c>
      <c r="AQ67" s="6">
        <v>0</v>
      </c>
      <c r="AR67" s="6">
        <v>1.91266127321514</v>
      </c>
      <c r="AS67" s="6">
        <v>0</v>
      </c>
      <c r="AT67" s="6">
        <v>0</v>
      </c>
      <c r="AU67" s="6">
        <v>0.58321270246870505</v>
      </c>
      <c r="AV67" s="6">
        <v>-1.06794536198289</v>
      </c>
      <c r="AW67" s="6">
        <v>1.54691324134609</v>
      </c>
      <c r="AX67" s="6">
        <v>0</v>
      </c>
      <c r="AY67" s="6">
        <v>-3.9549471415847499</v>
      </c>
      <c r="AZ67" s="6">
        <v>-3.00367069945221</v>
      </c>
      <c r="BA67" s="6">
        <v>0</v>
      </c>
      <c r="BB67" s="6">
        <v>1.0771299515853801</v>
      </c>
      <c r="BC67" s="6">
        <v>42.535812494646599</v>
      </c>
    </row>
    <row r="68" spans="2:55" x14ac:dyDescent="0.25">
      <c r="B68" s="5">
        <v>35</v>
      </c>
      <c r="C68" s="5">
        <v>3</v>
      </c>
      <c r="D68" s="6">
        <v>1.82908637470824</v>
      </c>
      <c r="E68" s="6">
        <v>-2.37345354686552</v>
      </c>
      <c r="F68" s="6">
        <v>0</v>
      </c>
      <c r="G68" s="6">
        <v>0.52952561442002399</v>
      </c>
      <c r="H68" s="6">
        <v>-0.52958061868798101</v>
      </c>
      <c r="I68" s="6">
        <v>2.0691976901914599</v>
      </c>
      <c r="J68" s="6">
        <v>0.53188137131692703</v>
      </c>
      <c r="K68" s="6">
        <v>0</v>
      </c>
      <c r="L68" s="6">
        <v>0</v>
      </c>
      <c r="M68" s="6">
        <v>0.35277297876816199</v>
      </c>
      <c r="N68" s="6">
        <v>2.3927188881812298</v>
      </c>
      <c r="O68" s="6">
        <v>0.53023043154982297</v>
      </c>
      <c r="P68" s="6">
        <v>0</v>
      </c>
      <c r="Q68" s="6">
        <v>1.75562287020597</v>
      </c>
      <c r="R68" s="6">
        <v>-1.43246370689094</v>
      </c>
      <c r="S68" s="6">
        <v>0</v>
      </c>
      <c r="T68" s="6">
        <v>0</v>
      </c>
      <c r="U68" s="6">
        <v>0</v>
      </c>
      <c r="V68" s="6">
        <v>-0.97171243752733405</v>
      </c>
      <c r="W68" s="6">
        <v>1.9689373235052701</v>
      </c>
      <c r="X68" s="6">
        <v>1.8956162246264501</v>
      </c>
      <c r="Y68" s="6">
        <v>2.5980983576567498</v>
      </c>
      <c r="Z68" s="6">
        <v>-1.41337613845819</v>
      </c>
      <c r="AA68" s="6">
        <v>3.55181564602711</v>
      </c>
      <c r="AB68" s="6">
        <v>3.1501977185162899</v>
      </c>
      <c r="AC68" s="6">
        <v>1.4358855297584201</v>
      </c>
      <c r="AD68" s="6">
        <v>5.01968291146233</v>
      </c>
      <c r="AE68" s="6">
        <v>1.7337996517493699</v>
      </c>
      <c r="AF68" s="6">
        <v>0.4896303166357</v>
      </c>
      <c r="AG68" s="6">
        <v>0</v>
      </c>
      <c r="AH68" s="6">
        <v>-1.75537579001049</v>
      </c>
      <c r="AI68" s="6">
        <v>0</v>
      </c>
      <c r="AJ68" s="6">
        <v>-1.3902580552600099</v>
      </c>
      <c r="AK68" s="6">
        <v>2.8343207854678698</v>
      </c>
      <c r="AL68" s="6">
        <v>1.07366093462205</v>
      </c>
      <c r="AM68" s="6">
        <v>0.76316094869874695</v>
      </c>
      <c r="AN68" s="6">
        <v>-0.68632164656647499</v>
      </c>
      <c r="AO68" s="6">
        <v>0</v>
      </c>
      <c r="AP68" s="6">
        <v>0</v>
      </c>
      <c r="AQ68" s="6">
        <v>0</v>
      </c>
      <c r="AR68" s="6">
        <v>1.9377647056018199</v>
      </c>
      <c r="AS68" s="6">
        <v>1.28360063754304</v>
      </c>
      <c r="AT68" s="6">
        <v>-3.1085666636545701</v>
      </c>
      <c r="AU68" s="6">
        <v>0</v>
      </c>
      <c r="AV68" s="6">
        <v>-1.5974732357714001</v>
      </c>
      <c r="AW68" s="6">
        <v>0</v>
      </c>
      <c r="AX68" s="6">
        <v>-0.44896433247050899</v>
      </c>
      <c r="AY68" s="6">
        <v>-5.7567613854565698</v>
      </c>
      <c r="AZ68" s="6">
        <v>-2.7246263773697299</v>
      </c>
      <c r="BA68" s="6">
        <v>0</v>
      </c>
      <c r="BB68" s="6">
        <v>0.87217722353703597</v>
      </c>
      <c r="BC68" s="6">
        <v>36.814204680949501</v>
      </c>
    </row>
    <row r="69" spans="2:55" x14ac:dyDescent="0.25">
      <c r="B69" s="5">
        <v>35</v>
      </c>
      <c r="C69" s="5">
        <v>4</v>
      </c>
      <c r="D69" s="6">
        <v>1.2470633746605799</v>
      </c>
      <c r="E69" s="6">
        <v>-2.0294927459440002</v>
      </c>
      <c r="F69" s="6">
        <v>0</v>
      </c>
      <c r="G69" s="6">
        <v>3.0994177036528399</v>
      </c>
      <c r="H69" s="6">
        <v>-1.7310402407386301</v>
      </c>
      <c r="I69" s="6">
        <v>2.50307124252216</v>
      </c>
      <c r="J69" s="6">
        <v>0</v>
      </c>
      <c r="K69" s="6">
        <v>0</v>
      </c>
      <c r="L69" s="6">
        <v>-1.27480849866511</v>
      </c>
      <c r="M69" s="6">
        <v>-1.08159456138081</v>
      </c>
      <c r="N69" s="6">
        <v>0</v>
      </c>
      <c r="O69" s="6">
        <v>0.297148588045486</v>
      </c>
      <c r="P69" s="6">
        <v>-3.04860826058135</v>
      </c>
      <c r="Q69" s="6">
        <v>0</v>
      </c>
      <c r="R69" s="6">
        <v>-2.8337907918935099</v>
      </c>
      <c r="S69" s="6">
        <v>0.91533348963274797</v>
      </c>
      <c r="T69" s="6">
        <v>-2.1731122845671802</v>
      </c>
      <c r="U69" s="6">
        <v>-0.57651313076019195</v>
      </c>
      <c r="V69" s="6">
        <v>1.1315679496573201</v>
      </c>
      <c r="W69" s="6">
        <v>0.90258575617042702</v>
      </c>
      <c r="X69" s="6">
        <v>3.52217002619189</v>
      </c>
      <c r="Y69" s="6">
        <v>2.5742897094368602</v>
      </c>
      <c r="Z69" s="6">
        <v>-1.1318325725064999</v>
      </c>
      <c r="AA69" s="6">
        <v>2.82586108316297</v>
      </c>
      <c r="AB69" s="6">
        <v>0</v>
      </c>
      <c r="AC69" s="6">
        <v>0.92508590242899402</v>
      </c>
      <c r="AD69" s="6">
        <v>1.87175074511998</v>
      </c>
      <c r="AE69" s="6">
        <v>-0.25374262001104703</v>
      </c>
      <c r="AF69" s="6">
        <v>0.81056954209116805</v>
      </c>
      <c r="AG69" s="6">
        <v>1.50132094651517</v>
      </c>
      <c r="AH69" s="6">
        <v>-1.9079972645266701</v>
      </c>
      <c r="AI69" s="6">
        <v>0</v>
      </c>
      <c r="AJ69" s="6">
        <v>0</v>
      </c>
      <c r="AK69" s="6">
        <v>3.2539811737580799</v>
      </c>
      <c r="AL69" s="6">
        <v>-0.50644515916575295</v>
      </c>
      <c r="AM69" s="6">
        <v>0</v>
      </c>
      <c r="AN69" s="6">
        <v>-1.92458379316752</v>
      </c>
      <c r="AO69" s="6">
        <v>0</v>
      </c>
      <c r="AP69" s="6">
        <v>-1.09927235062963</v>
      </c>
      <c r="AQ69" s="6">
        <v>-2.48068011815365</v>
      </c>
      <c r="AR69" s="6">
        <v>0</v>
      </c>
      <c r="AS69" s="6">
        <v>0.92690800195524303</v>
      </c>
      <c r="AT69" s="6">
        <v>0</v>
      </c>
      <c r="AU69" s="6">
        <v>1.32460496154768</v>
      </c>
      <c r="AV69" s="6">
        <v>1.90117831705205</v>
      </c>
      <c r="AW69" s="6">
        <v>0</v>
      </c>
      <c r="AX69" s="6">
        <v>0</v>
      </c>
      <c r="AY69" s="6">
        <v>-1.7728878783164701</v>
      </c>
      <c r="AZ69" s="6">
        <v>-2.3491785034779298</v>
      </c>
      <c r="BA69" s="6">
        <v>1.69164927927638</v>
      </c>
      <c r="BB69" s="6">
        <v>0</v>
      </c>
      <c r="BC69" s="6">
        <v>126.04294778644901</v>
      </c>
    </row>
    <row r="70" spans="2:55" x14ac:dyDescent="0.25">
      <c r="B70" s="5">
        <v>35</v>
      </c>
      <c r="C70" s="5">
        <v>5</v>
      </c>
      <c r="D70" s="6">
        <v>0.48836924232562801</v>
      </c>
      <c r="E70" s="6">
        <v>-2.3405490500421098</v>
      </c>
      <c r="F70" s="6">
        <v>0.994635968135686</v>
      </c>
      <c r="G70" s="6">
        <v>0.71046035067013402</v>
      </c>
      <c r="H70" s="6">
        <v>0</v>
      </c>
      <c r="I70" s="6">
        <v>0.75573747118800405</v>
      </c>
      <c r="J70" s="6">
        <v>1.6836584967210799</v>
      </c>
      <c r="K70" s="6">
        <v>0</v>
      </c>
      <c r="L70" s="6">
        <v>-2.5195582596118999</v>
      </c>
      <c r="M70" s="6">
        <v>1.91963738198679</v>
      </c>
      <c r="N70" s="6">
        <v>0.94509536929578697</v>
      </c>
      <c r="O70" s="6">
        <v>0</v>
      </c>
      <c r="P70" s="6">
        <v>0</v>
      </c>
      <c r="Q70" s="6">
        <v>0.53975788763366095</v>
      </c>
      <c r="R70" s="6">
        <v>-1.8303834940783901</v>
      </c>
      <c r="S70" s="6">
        <v>-0.35090620260706301</v>
      </c>
      <c r="T70" s="6">
        <v>-1.4263239442017099</v>
      </c>
      <c r="U70" s="6">
        <v>0.63984193434876702</v>
      </c>
      <c r="V70" s="6">
        <v>-0.80986287499076703</v>
      </c>
      <c r="W70" s="6">
        <v>1.1850773127434999</v>
      </c>
      <c r="X70" s="6">
        <v>1.22757200230452</v>
      </c>
      <c r="Y70" s="6">
        <v>1.07326254802522</v>
      </c>
      <c r="Z70" s="6">
        <v>0</v>
      </c>
      <c r="AA70" s="6">
        <v>1.9762962802080899</v>
      </c>
      <c r="AB70" s="6">
        <v>0</v>
      </c>
      <c r="AC70" s="6">
        <v>1.37813116302997</v>
      </c>
      <c r="AD70" s="6">
        <v>0.88804000592945598</v>
      </c>
      <c r="AE70" s="6">
        <v>0</v>
      </c>
      <c r="AF70" s="6">
        <v>0</v>
      </c>
      <c r="AG70" s="6">
        <v>0</v>
      </c>
      <c r="AH70" s="6">
        <v>-1.7801207395418499</v>
      </c>
      <c r="AI70" s="6">
        <v>1.1193194504763699</v>
      </c>
      <c r="AJ70" s="6">
        <v>0</v>
      </c>
      <c r="AK70" s="6">
        <v>3.2169710268154001</v>
      </c>
      <c r="AL70" s="6">
        <v>0</v>
      </c>
      <c r="AM70" s="6">
        <v>0</v>
      </c>
      <c r="AN70" s="6">
        <v>-2.1236363052018001</v>
      </c>
      <c r="AO70" s="6">
        <v>-0.26564891256098</v>
      </c>
      <c r="AP70" s="6">
        <v>-3.0674531765889799</v>
      </c>
      <c r="AQ70" s="6">
        <v>0</v>
      </c>
      <c r="AR70" s="6">
        <v>-0.59046587854822496</v>
      </c>
      <c r="AS70" s="6">
        <v>2.5296210080077199</v>
      </c>
      <c r="AT70" s="6">
        <v>-4.4052569203870497</v>
      </c>
      <c r="AU70" s="6">
        <v>1.4886015702465101</v>
      </c>
      <c r="AV70" s="6">
        <v>-0.31298977874571998</v>
      </c>
      <c r="AW70" s="6">
        <v>-0.63847181544690002</v>
      </c>
      <c r="AX70" s="6">
        <v>0</v>
      </c>
      <c r="AY70" s="6">
        <v>-1.3350583844866899</v>
      </c>
      <c r="AZ70" s="6">
        <v>-0.70619532702975796</v>
      </c>
      <c r="BA70" s="6">
        <v>0</v>
      </c>
      <c r="BB70" s="6">
        <v>-0.17241647907661101</v>
      </c>
      <c r="BC70" s="6">
        <v>71.037918756789594</v>
      </c>
    </row>
    <row r="71" spans="2:55" x14ac:dyDescent="0.25">
      <c r="B71" s="5">
        <v>35</v>
      </c>
      <c r="C71" s="5">
        <v>6</v>
      </c>
      <c r="D71" s="6">
        <v>1.0345613657194801</v>
      </c>
      <c r="E71" s="6">
        <v>-3.2434976531365001</v>
      </c>
      <c r="F71" s="6">
        <v>0.59511870356445196</v>
      </c>
      <c r="G71" s="6">
        <v>0.45399651435993899</v>
      </c>
      <c r="H71" s="6">
        <v>0</v>
      </c>
      <c r="I71" s="6">
        <v>4.2007805196199604</v>
      </c>
      <c r="J71" s="6">
        <v>-0.849700323173327</v>
      </c>
      <c r="K71" s="6">
        <v>1.48024821222035</v>
      </c>
      <c r="L71" s="6">
        <v>-1.57387557811718</v>
      </c>
      <c r="M71" s="6">
        <v>1.36681416564373</v>
      </c>
      <c r="N71" s="6">
        <v>3.2951168853918298</v>
      </c>
      <c r="O71" s="6">
        <v>0</v>
      </c>
      <c r="P71" s="6">
        <v>-0.76812267747823504</v>
      </c>
      <c r="Q71" s="6">
        <v>2.5555360428762399</v>
      </c>
      <c r="R71" s="6">
        <v>-1.8769844718049999</v>
      </c>
      <c r="S71" s="6">
        <v>1.8624987067479899</v>
      </c>
      <c r="T71" s="6">
        <v>0</v>
      </c>
      <c r="U71" s="6">
        <v>-1.4904396534539599</v>
      </c>
      <c r="V71" s="6">
        <v>0</v>
      </c>
      <c r="W71" s="6">
        <v>-0.91314721548574096</v>
      </c>
      <c r="X71" s="6">
        <v>0.54726551075152796</v>
      </c>
      <c r="Y71" s="6">
        <v>1.86466225394162</v>
      </c>
      <c r="Z71" s="6">
        <v>-2.9451423706556299</v>
      </c>
      <c r="AA71" s="6">
        <v>4.0920941665819299</v>
      </c>
      <c r="AB71" s="6">
        <v>0.55229306694195102</v>
      </c>
      <c r="AC71" s="6">
        <v>0</v>
      </c>
      <c r="AD71" s="6">
        <v>3.4844124138631001</v>
      </c>
      <c r="AE71" s="6">
        <v>1.85896685954723</v>
      </c>
      <c r="AF71" s="6">
        <v>0</v>
      </c>
      <c r="AG71" s="6">
        <v>0</v>
      </c>
      <c r="AH71" s="6">
        <v>-1.1106726341150499</v>
      </c>
      <c r="AI71" s="6">
        <v>-0.30834468899442302</v>
      </c>
      <c r="AJ71" s="6">
        <v>0</v>
      </c>
      <c r="AK71" s="6">
        <v>2.97784635256818</v>
      </c>
      <c r="AL71" s="6">
        <v>0.95809608275748503</v>
      </c>
      <c r="AM71" s="6">
        <v>0</v>
      </c>
      <c r="AN71" s="6">
        <v>0</v>
      </c>
      <c r="AO71" s="6">
        <v>0</v>
      </c>
      <c r="AP71" s="6">
        <v>0</v>
      </c>
      <c r="AQ71" s="6">
        <v>0</v>
      </c>
      <c r="AR71" s="6">
        <v>3.4118545567520902</v>
      </c>
      <c r="AS71" s="6">
        <v>2.6420746986378099</v>
      </c>
      <c r="AT71" s="6">
        <v>-3.33355100206516</v>
      </c>
      <c r="AU71" s="6">
        <v>2.17319983119638</v>
      </c>
      <c r="AV71" s="6">
        <v>0</v>
      </c>
      <c r="AW71" s="6">
        <v>-3.2211949554434098</v>
      </c>
      <c r="AX71" s="6">
        <v>-0.46567229540199201</v>
      </c>
      <c r="AY71" s="6">
        <v>-2.6753957000519399</v>
      </c>
      <c r="AZ71" s="6">
        <v>-1.6119488211941899</v>
      </c>
      <c r="BA71" s="6">
        <v>-2.7911585513598798</v>
      </c>
      <c r="BB71" s="6">
        <v>0</v>
      </c>
      <c r="BC71" s="6">
        <v>84.708276017450302</v>
      </c>
    </row>
    <row r="72" spans="2:55" x14ac:dyDescent="0.25">
      <c r="B72" s="5">
        <v>35</v>
      </c>
      <c r="C72" s="5">
        <v>7</v>
      </c>
      <c r="D72" s="6">
        <v>2.7378151539011299</v>
      </c>
      <c r="E72" s="6">
        <v>0.54721505414310301</v>
      </c>
      <c r="F72" s="6">
        <v>0</v>
      </c>
      <c r="G72" s="6">
        <v>-1.6087722669858</v>
      </c>
      <c r="H72" s="6">
        <v>-0.732656500489547</v>
      </c>
      <c r="I72" s="6">
        <v>0</v>
      </c>
      <c r="J72" s="6">
        <v>-0.21281036621438401</v>
      </c>
      <c r="K72" s="6">
        <v>0</v>
      </c>
      <c r="L72" s="6">
        <v>-1.0506780062002901</v>
      </c>
      <c r="M72" s="6">
        <v>-1.1651298090183699</v>
      </c>
      <c r="N72" s="6">
        <v>1.1803418969511501</v>
      </c>
      <c r="O72" s="6">
        <v>0</v>
      </c>
      <c r="P72" s="6">
        <v>0</v>
      </c>
      <c r="Q72" s="6">
        <v>0</v>
      </c>
      <c r="R72" s="6">
        <v>-0.18004313485410101</v>
      </c>
      <c r="S72" s="6">
        <v>0.85919813788496102</v>
      </c>
      <c r="T72" s="6">
        <v>0</v>
      </c>
      <c r="U72" s="6">
        <v>-0.33950253734327501</v>
      </c>
      <c r="V72" s="6">
        <v>-0.75287287684744297</v>
      </c>
      <c r="W72" s="6">
        <v>1.3588814505975799</v>
      </c>
      <c r="X72" s="6">
        <v>0</v>
      </c>
      <c r="Y72" s="6">
        <v>1.8199769351722499</v>
      </c>
      <c r="Z72" s="6">
        <v>-1.61198066526127</v>
      </c>
      <c r="AA72" s="6">
        <v>2.3962287359430001</v>
      </c>
      <c r="AB72" s="6">
        <v>2.3663232114640902</v>
      </c>
      <c r="AC72" s="6">
        <v>0.36467447353018401</v>
      </c>
      <c r="AD72" s="6">
        <v>4.2330176626262297</v>
      </c>
      <c r="AE72" s="6">
        <v>3.0197167842913002</v>
      </c>
      <c r="AF72" s="6">
        <v>0</v>
      </c>
      <c r="AG72" s="6">
        <v>1.4463386120491</v>
      </c>
      <c r="AH72" s="6">
        <v>-1.3067169598925099</v>
      </c>
      <c r="AI72" s="6">
        <v>-2.1577452363617402</v>
      </c>
      <c r="AJ72" s="6">
        <v>0</v>
      </c>
      <c r="AK72" s="6">
        <v>1.6455027532300699</v>
      </c>
      <c r="AL72" s="6">
        <v>0</v>
      </c>
      <c r="AM72" s="6">
        <v>2.23426947809903</v>
      </c>
      <c r="AN72" s="6">
        <v>-0.57109522367258203</v>
      </c>
      <c r="AO72" s="6">
        <v>1.71130590305438</v>
      </c>
      <c r="AP72" s="6">
        <v>0</v>
      </c>
      <c r="AQ72" s="6">
        <v>1.4511149861832799</v>
      </c>
      <c r="AR72" s="6">
        <v>3.0224142644380301</v>
      </c>
      <c r="AS72" s="6">
        <v>0</v>
      </c>
      <c r="AT72" s="6">
        <v>1.0177768726468299</v>
      </c>
      <c r="AU72" s="6">
        <v>1.6648012608346301</v>
      </c>
      <c r="AV72" s="6">
        <v>0.357693876351655</v>
      </c>
      <c r="AW72" s="6">
        <v>0</v>
      </c>
      <c r="AX72" s="6">
        <v>0</v>
      </c>
      <c r="AY72" s="6">
        <v>-3.7743334589767099</v>
      </c>
      <c r="AZ72" s="6">
        <v>-0.45316121702769202</v>
      </c>
      <c r="BA72" s="6">
        <v>-0.73550211428434797</v>
      </c>
      <c r="BB72" s="6">
        <v>1.0775757026836501</v>
      </c>
      <c r="BC72" s="6">
        <v>46.3915090844527</v>
      </c>
    </row>
    <row r="73" spans="2:55" x14ac:dyDescent="0.25">
      <c r="B73" s="5">
        <v>35</v>
      </c>
      <c r="C73" s="5">
        <v>8</v>
      </c>
      <c r="D73" s="6">
        <v>2.6894346978255901</v>
      </c>
      <c r="E73" s="6">
        <v>0</v>
      </c>
      <c r="F73" s="6">
        <v>0</v>
      </c>
      <c r="G73" s="6">
        <v>0</v>
      </c>
      <c r="H73" s="6">
        <v>-3.72100767778285</v>
      </c>
      <c r="I73" s="6">
        <v>-1.08000445560068</v>
      </c>
      <c r="J73" s="6">
        <v>-1.20081379141627</v>
      </c>
      <c r="K73" s="6">
        <v>-3.07143280981207</v>
      </c>
      <c r="L73" s="6">
        <v>0</v>
      </c>
      <c r="M73" s="6">
        <v>-3.52961365056417</v>
      </c>
      <c r="N73" s="6">
        <v>0</v>
      </c>
      <c r="O73" s="6">
        <v>1.3289325838376</v>
      </c>
      <c r="P73" s="6">
        <v>0</v>
      </c>
      <c r="Q73" s="6">
        <v>-1.1445119619100701</v>
      </c>
      <c r="R73" s="6">
        <v>0</v>
      </c>
      <c r="S73" s="6">
        <v>0</v>
      </c>
      <c r="T73" s="6">
        <v>-1.47342905705801</v>
      </c>
      <c r="U73" s="6">
        <v>-1.77527891913947</v>
      </c>
      <c r="V73" s="6">
        <v>0.79259070007339105</v>
      </c>
      <c r="W73" s="6">
        <v>4.4903476522181904</v>
      </c>
      <c r="X73" s="6">
        <v>1.56320061433487</v>
      </c>
      <c r="Y73" s="6">
        <v>2.0465791925710102</v>
      </c>
      <c r="Z73" s="6">
        <v>0</v>
      </c>
      <c r="AA73" s="6">
        <v>0.51931306859425197</v>
      </c>
      <c r="AB73" s="6">
        <v>2.8880401419717199</v>
      </c>
      <c r="AC73" s="6">
        <v>1.1809449279798301</v>
      </c>
      <c r="AD73" s="6">
        <v>3.7885787668316699</v>
      </c>
      <c r="AE73" s="6">
        <v>0.26286808621240898</v>
      </c>
      <c r="AF73" s="6">
        <v>0</v>
      </c>
      <c r="AG73" s="6">
        <v>2.3865194326552599</v>
      </c>
      <c r="AH73" s="6">
        <v>-2.7236074472489098</v>
      </c>
      <c r="AI73" s="6">
        <v>-1.51159409883372</v>
      </c>
      <c r="AJ73" s="6">
        <v>0</v>
      </c>
      <c r="AK73" s="6">
        <v>0</v>
      </c>
      <c r="AL73" s="6">
        <v>1.2227651687805099</v>
      </c>
      <c r="AM73" s="6">
        <v>1.01257383659492</v>
      </c>
      <c r="AN73" s="6">
        <v>0</v>
      </c>
      <c r="AO73" s="6">
        <v>3.5294346134204799</v>
      </c>
      <c r="AP73" s="6">
        <v>-2.9447090690206599</v>
      </c>
      <c r="AQ73" s="6">
        <v>-1.2172718572104499</v>
      </c>
      <c r="AR73" s="6">
        <v>0</v>
      </c>
      <c r="AS73" s="6">
        <v>-1.7948271810760099</v>
      </c>
      <c r="AT73" s="6">
        <v>3.7942262396275699</v>
      </c>
      <c r="AU73" s="6">
        <v>-0.27448294067325202</v>
      </c>
      <c r="AV73" s="6">
        <v>2.6826136415610602</v>
      </c>
      <c r="AW73" s="6">
        <v>0</v>
      </c>
      <c r="AX73" s="6">
        <v>0.74069229922943702</v>
      </c>
      <c r="AY73" s="6">
        <v>-5.0665955739356097</v>
      </c>
      <c r="AZ73" s="6">
        <v>-0.76603528618851402</v>
      </c>
      <c r="BA73" s="6">
        <v>3.23938348209898</v>
      </c>
      <c r="BB73" s="6">
        <v>2.12595166674472</v>
      </c>
      <c r="BC73" s="6">
        <v>211.78610066046599</v>
      </c>
    </row>
    <row r="74" spans="2:55" x14ac:dyDescent="0.25">
      <c r="B74" s="5">
        <v>35</v>
      </c>
      <c r="C74" s="5">
        <v>9</v>
      </c>
      <c r="D74" s="6">
        <v>2.0392902811943698</v>
      </c>
      <c r="E74" s="6">
        <v>-1.15270556936432</v>
      </c>
      <c r="F74" s="6">
        <v>0</v>
      </c>
      <c r="G74" s="6">
        <v>0.254012780146742</v>
      </c>
      <c r="H74" s="6">
        <v>-0.938515154065652</v>
      </c>
      <c r="I74" s="6">
        <v>2.3793357847759502</v>
      </c>
      <c r="J74" s="6">
        <v>0</v>
      </c>
      <c r="K74" s="6">
        <v>-0.62550434611966199</v>
      </c>
      <c r="L74" s="6">
        <v>0</v>
      </c>
      <c r="M74" s="6">
        <v>1.12431657869445</v>
      </c>
      <c r="N74" s="6">
        <v>4.1425600481659997</v>
      </c>
      <c r="O74" s="6">
        <v>0</v>
      </c>
      <c r="P74" s="6">
        <v>0</v>
      </c>
      <c r="Q74" s="6">
        <v>1.17181516217439</v>
      </c>
      <c r="R74" s="6">
        <v>0</v>
      </c>
      <c r="S74" s="6">
        <v>0</v>
      </c>
      <c r="T74" s="6">
        <v>1.8395901482685799</v>
      </c>
      <c r="U74" s="6">
        <v>0</v>
      </c>
      <c r="V74" s="6">
        <v>1.6655466110175901</v>
      </c>
      <c r="W74" s="6">
        <v>1.1715415046631701</v>
      </c>
      <c r="X74" s="6">
        <v>1.36854115048916</v>
      </c>
      <c r="Y74" s="6">
        <v>1.82799186268036</v>
      </c>
      <c r="Z74" s="6">
        <v>-1.66193869362442</v>
      </c>
      <c r="AA74" s="6">
        <v>2.8897983702111798</v>
      </c>
      <c r="AB74" s="6">
        <v>1.8133375393038</v>
      </c>
      <c r="AC74" s="6">
        <v>0</v>
      </c>
      <c r="AD74" s="6">
        <v>4.2100495540465399</v>
      </c>
      <c r="AE74" s="6">
        <v>2.0283734464701602</v>
      </c>
      <c r="AF74" s="6">
        <v>1.24205094562853</v>
      </c>
      <c r="AG74" s="6">
        <v>0.67462735899596404</v>
      </c>
      <c r="AH74" s="6">
        <v>0</v>
      </c>
      <c r="AI74" s="6">
        <v>0</v>
      </c>
      <c r="AJ74" s="6">
        <v>0</v>
      </c>
      <c r="AK74" s="6">
        <v>2.7515642216184899</v>
      </c>
      <c r="AL74" s="6">
        <v>1.17266656019711</v>
      </c>
      <c r="AM74" s="6">
        <v>0.45502191011799298</v>
      </c>
      <c r="AN74" s="6">
        <v>-0.40930319514806901</v>
      </c>
      <c r="AO74" s="6">
        <v>-0.92629903037289796</v>
      </c>
      <c r="AP74" s="6">
        <v>-1.1205568098221099</v>
      </c>
      <c r="AQ74" s="6">
        <v>0.72020571836861602</v>
      </c>
      <c r="AR74" s="6">
        <v>1.7140975889104999</v>
      </c>
      <c r="AS74" s="6">
        <v>2.1525707505041698</v>
      </c>
      <c r="AT74" s="6">
        <v>-1.15774371901719</v>
      </c>
      <c r="AU74" s="6">
        <v>0</v>
      </c>
      <c r="AV74" s="6">
        <v>-0.49770526854545399</v>
      </c>
      <c r="AW74" s="6">
        <v>0</v>
      </c>
      <c r="AX74" s="6">
        <v>0.623635739717884</v>
      </c>
      <c r="AY74" s="6">
        <v>-3.3911134053529701</v>
      </c>
      <c r="AZ74" s="6">
        <v>-1.4500232141004199</v>
      </c>
      <c r="BA74" s="6">
        <v>0</v>
      </c>
      <c r="BB74" s="6">
        <v>0.92350461210109003</v>
      </c>
      <c r="BC74" s="6">
        <v>25.734796810830201</v>
      </c>
    </row>
    <row r="75" spans="2:55" x14ac:dyDescent="0.25">
      <c r="B75" s="5">
        <v>40</v>
      </c>
      <c r="C75" s="5">
        <v>0</v>
      </c>
      <c r="D75" s="6">
        <v>3.4842093473717402</v>
      </c>
      <c r="E75" s="6">
        <v>-2.0204589929765602</v>
      </c>
      <c r="F75" s="6">
        <v>2.2186346466979101</v>
      </c>
      <c r="G75" s="6">
        <v>-0.74873898525303295</v>
      </c>
      <c r="H75" s="6">
        <v>-1.79029649548331</v>
      </c>
      <c r="I75" s="6">
        <v>0.68486382375601296</v>
      </c>
      <c r="J75" s="6">
        <v>1.0794932925278999</v>
      </c>
      <c r="K75" s="6">
        <v>0.66897940744856399</v>
      </c>
      <c r="L75" s="6">
        <v>-2.5801378415066298</v>
      </c>
      <c r="M75" s="6">
        <v>0.85383394081052399</v>
      </c>
      <c r="N75" s="6">
        <v>3.76207414834355</v>
      </c>
      <c r="O75" s="6">
        <v>0</v>
      </c>
      <c r="P75" s="6">
        <v>-2.4374385973678199</v>
      </c>
      <c r="Q75" s="6">
        <v>0.45168424579576499</v>
      </c>
      <c r="R75" s="6">
        <v>0</v>
      </c>
      <c r="S75" s="6">
        <v>0.79509925968071005</v>
      </c>
      <c r="T75" s="6">
        <v>0</v>
      </c>
      <c r="U75" s="6">
        <v>0</v>
      </c>
      <c r="V75" s="6">
        <v>0</v>
      </c>
      <c r="W75" s="6">
        <v>-0.71455697957929798</v>
      </c>
      <c r="X75" s="6">
        <v>1.69320159917137</v>
      </c>
      <c r="Y75" s="6">
        <v>1.5362293481076299</v>
      </c>
      <c r="Z75" s="6">
        <v>-2.0598695401696001</v>
      </c>
      <c r="AA75" s="6">
        <v>3.1115827072669902</v>
      </c>
      <c r="AB75" s="6">
        <v>0</v>
      </c>
      <c r="AC75" s="6">
        <v>2.3270961836185</v>
      </c>
      <c r="AD75" s="6">
        <v>1.8140988940812399</v>
      </c>
      <c r="AE75" s="6">
        <v>1.56650749105984</v>
      </c>
      <c r="AF75" s="6">
        <v>0.55997276323411105</v>
      </c>
      <c r="AG75" s="6">
        <v>1.94938925018122</v>
      </c>
      <c r="AH75" s="6">
        <v>0.79833259425022995</v>
      </c>
      <c r="AI75" s="6">
        <v>-0.89885955891634794</v>
      </c>
      <c r="AJ75" s="6">
        <v>2.0306977229332199</v>
      </c>
      <c r="AK75" s="6">
        <v>2.6785527837970702</v>
      </c>
      <c r="AL75" s="6">
        <v>0.140365366100519</v>
      </c>
      <c r="AM75" s="6">
        <v>0</v>
      </c>
      <c r="AN75" s="6">
        <v>-4.2479046009749002</v>
      </c>
      <c r="AO75" s="6">
        <v>0</v>
      </c>
      <c r="AP75" s="6">
        <v>-2.5450830850310799</v>
      </c>
      <c r="AQ75" s="6">
        <v>0</v>
      </c>
      <c r="AR75" s="6">
        <v>2.8009808802601399</v>
      </c>
      <c r="AS75" s="6">
        <v>3.3184866125907599</v>
      </c>
      <c r="AT75" s="6">
        <v>-3.1038906113176901</v>
      </c>
      <c r="AU75" s="6">
        <v>2.7019301906325399</v>
      </c>
      <c r="AV75" s="6">
        <v>1.76249448747495</v>
      </c>
      <c r="AW75" s="6">
        <v>-1.01569601074597</v>
      </c>
      <c r="AX75" s="6">
        <v>0</v>
      </c>
      <c r="AY75" s="6">
        <v>-1.6595257549779301</v>
      </c>
      <c r="AZ75" s="6">
        <v>-1.6688066483074999</v>
      </c>
      <c r="BA75" s="6">
        <v>-0.89528530314509802</v>
      </c>
      <c r="BB75" s="6">
        <v>0.10839336674951</v>
      </c>
      <c r="BC75" s="6">
        <v>139.698366853777</v>
      </c>
    </row>
    <row r="76" spans="2:55" x14ac:dyDescent="0.25">
      <c r="B76" s="5">
        <v>40</v>
      </c>
      <c r="C76" s="5">
        <v>1</v>
      </c>
      <c r="D76" s="6">
        <v>-0.75534164834151696</v>
      </c>
      <c r="E76" s="6">
        <v>-1.4176792940079599</v>
      </c>
      <c r="F76" s="6">
        <v>-0.51498423348036704</v>
      </c>
      <c r="G76" s="6">
        <v>1.28277097800727</v>
      </c>
      <c r="H76" s="6">
        <v>-0.490308881291597</v>
      </c>
      <c r="I76" s="6">
        <v>-0.64949121645355401</v>
      </c>
      <c r="J76" s="6">
        <v>2.2982697017445601</v>
      </c>
      <c r="K76" s="6">
        <v>0</v>
      </c>
      <c r="L76" s="6">
        <v>-4.3405850175481602</v>
      </c>
      <c r="M76" s="6">
        <v>0.96053814050078301</v>
      </c>
      <c r="N76" s="6">
        <v>-1.35469841551019</v>
      </c>
      <c r="O76" s="6">
        <v>0</v>
      </c>
      <c r="P76" s="6">
        <v>1.04065085903756</v>
      </c>
      <c r="Q76" s="6">
        <v>0.71726202737691602</v>
      </c>
      <c r="R76" s="6">
        <v>-1.4016226316151901</v>
      </c>
      <c r="S76" s="6">
        <v>0</v>
      </c>
      <c r="T76" s="6">
        <v>-3.0961877813421399</v>
      </c>
      <c r="U76" s="6">
        <v>-0.44482606159760602</v>
      </c>
      <c r="V76" s="6">
        <v>-3.0258741809931999</v>
      </c>
      <c r="W76" s="6">
        <v>0</v>
      </c>
      <c r="X76" s="6">
        <v>-1.3256265719006699</v>
      </c>
      <c r="Y76" s="6">
        <v>-0.47057890154444498</v>
      </c>
      <c r="Z76" s="6">
        <v>-1.68025248050069</v>
      </c>
      <c r="AA76" s="6">
        <v>-0.12660987897339801</v>
      </c>
      <c r="AB76" s="6">
        <v>-0.36024328501481601</v>
      </c>
      <c r="AC76" s="6">
        <v>-1.45071436637711</v>
      </c>
      <c r="AD76" s="6">
        <v>0.89389537830760901</v>
      </c>
      <c r="AE76" s="6">
        <v>-0.72421670501597502</v>
      </c>
      <c r="AF76" s="6">
        <v>-1.0436538864648699</v>
      </c>
      <c r="AG76" s="6">
        <v>1.1936066122271201</v>
      </c>
      <c r="AH76" s="6">
        <v>-1.1272439347071199</v>
      </c>
      <c r="AI76" s="6">
        <v>0</v>
      </c>
      <c r="AJ76" s="6">
        <v>0</v>
      </c>
      <c r="AK76" s="6">
        <v>1.71324620714312</v>
      </c>
      <c r="AL76" s="6">
        <v>-2.19985513411602</v>
      </c>
      <c r="AM76" s="6">
        <v>1.18140877327482</v>
      </c>
      <c r="AN76" s="6">
        <v>-0.62717225337328797</v>
      </c>
      <c r="AO76" s="6">
        <v>0</v>
      </c>
      <c r="AP76" s="6">
        <v>-0.60830136895665199</v>
      </c>
      <c r="AQ76" s="6">
        <v>0</v>
      </c>
      <c r="AR76" s="6">
        <v>0</v>
      </c>
      <c r="AS76" s="6">
        <v>2.4593207229704599</v>
      </c>
      <c r="AT76" s="6">
        <v>-3.3078541861565101</v>
      </c>
      <c r="AU76" s="6">
        <v>3.1357280743262899</v>
      </c>
      <c r="AV76" s="6">
        <v>0.96805263713376499</v>
      </c>
      <c r="AW76" s="6">
        <v>-0.98237731962959596</v>
      </c>
      <c r="AX76" s="6">
        <v>1.0876757025656201</v>
      </c>
      <c r="AY76" s="6">
        <v>-1.0419530960355601</v>
      </c>
      <c r="AZ76" s="6">
        <v>0</v>
      </c>
      <c r="BA76" s="6">
        <v>-0.65607814210008597</v>
      </c>
      <c r="BB76" s="6">
        <v>0.957136745615077</v>
      </c>
      <c r="BC76" s="6">
        <v>150.531933005036</v>
      </c>
    </row>
    <row r="77" spans="2:55" x14ac:dyDescent="0.25">
      <c r="B77" s="5">
        <v>40</v>
      </c>
      <c r="C77" s="5">
        <v>2</v>
      </c>
      <c r="D77" s="6">
        <v>1.0917989138962301</v>
      </c>
      <c r="E77" s="6">
        <v>0.19439267250696601</v>
      </c>
      <c r="F77" s="6">
        <v>-1.3275369753159101</v>
      </c>
      <c r="G77" s="6">
        <v>1.3032826956185499</v>
      </c>
      <c r="H77" s="6">
        <v>-1.2859240280427799</v>
      </c>
      <c r="I77" s="6">
        <v>0</v>
      </c>
      <c r="J77" s="6">
        <v>1.8214317850283099</v>
      </c>
      <c r="K77" s="6">
        <v>0.12267226980632299</v>
      </c>
      <c r="L77" s="6">
        <v>-0.91012746999702898</v>
      </c>
      <c r="M77" s="6">
        <v>0</v>
      </c>
      <c r="N77" s="6">
        <v>0</v>
      </c>
      <c r="O77" s="6">
        <v>0.83935110635297305</v>
      </c>
      <c r="P77" s="6">
        <v>0</v>
      </c>
      <c r="Q77" s="6">
        <v>0</v>
      </c>
      <c r="R77" s="6">
        <v>0</v>
      </c>
      <c r="S77" s="6">
        <v>-0.44190861164420903</v>
      </c>
      <c r="T77" s="6">
        <v>0</v>
      </c>
      <c r="U77" s="6">
        <v>0.81271812192369297</v>
      </c>
      <c r="V77" s="6">
        <v>0</v>
      </c>
      <c r="W77" s="6">
        <v>3.9766477396495699</v>
      </c>
      <c r="X77" s="6">
        <v>1.77972906947487</v>
      </c>
      <c r="Y77" s="6">
        <v>0</v>
      </c>
      <c r="Z77" s="6">
        <v>-1.1378860060557401</v>
      </c>
      <c r="AA77" s="6">
        <v>0.81825144168877995</v>
      </c>
      <c r="AB77" s="6">
        <v>1.79668448811047</v>
      </c>
      <c r="AC77" s="6">
        <v>-1.51047554174583</v>
      </c>
      <c r="AD77" s="6">
        <v>3.8122120908832402</v>
      </c>
      <c r="AE77" s="6">
        <v>2.1993476257827802</v>
      </c>
      <c r="AF77" s="6">
        <v>1.11919601615451</v>
      </c>
      <c r="AG77" s="6">
        <v>1.1830587204835601</v>
      </c>
      <c r="AH77" s="6">
        <v>-0.46047640581467097</v>
      </c>
      <c r="AI77" s="6">
        <v>-0.52325813528234799</v>
      </c>
      <c r="AJ77" s="6">
        <v>0.71466065890542096</v>
      </c>
      <c r="AK77" s="6">
        <v>1.75748634793171</v>
      </c>
      <c r="AL77" s="6">
        <v>-0.31348838139836699</v>
      </c>
      <c r="AM77" s="6">
        <v>1.56374372538081</v>
      </c>
      <c r="AN77" s="6">
        <v>-0.76532092312097699</v>
      </c>
      <c r="AO77" s="6">
        <v>-1.4112585586259201</v>
      </c>
      <c r="AP77" s="6">
        <v>0</v>
      </c>
      <c r="AQ77" s="6">
        <v>1.48300401565051</v>
      </c>
      <c r="AR77" s="6">
        <v>0.56805810120064304</v>
      </c>
      <c r="AS77" s="6">
        <v>-1.5241846151573699</v>
      </c>
      <c r="AT77" s="6">
        <v>2.11947307939263</v>
      </c>
      <c r="AU77" s="6">
        <v>-0.42177214959897302</v>
      </c>
      <c r="AV77" s="6">
        <v>-0.54146818139918895</v>
      </c>
      <c r="AW77" s="6">
        <v>3.3086786734845699</v>
      </c>
      <c r="AX77" s="6">
        <v>0.70708018564839104</v>
      </c>
      <c r="AY77" s="6">
        <v>-3.7047684957861802</v>
      </c>
      <c r="AZ77" s="6">
        <v>-0.65140158503935697</v>
      </c>
      <c r="BA77" s="6">
        <v>0.56689828380033802</v>
      </c>
      <c r="BB77" s="6">
        <v>1.0630006874951199</v>
      </c>
      <c r="BC77" s="6">
        <v>124.586609809648</v>
      </c>
    </row>
    <row r="78" spans="2:55" x14ac:dyDescent="0.25">
      <c r="B78" s="5">
        <v>40</v>
      </c>
      <c r="C78" s="5">
        <v>3</v>
      </c>
      <c r="D78" s="6">
        <v>1.7213169579945</v>
      </c>
      <c r="E78" s="6">
        <v>-3.2926715726037301</v>
      </c>
      <c r="F78" s="6">
        <v>-0.50751127563093001</v>
      </c>
      <c r="G78" s="6">
        <v>1.1778597649270499</v>
      </c>
      <c r="H78" s="6">
        <v>-2.63459321382379</v>
      </c>
      <c r="I78" s="6">
        <v>-1.28319270709829</v>
      </c>
      <c r="J78" s="6">
        <v>0</v>
      </c>
      <c r="K78" s="6">
        <v>2.2990147172439199</v>
      </c>
      <c r="L78" s="6">
        <v>-2.97061211430692</v>
      </c>
      <c r="M78" s="6">
        <v>-2.98861189435496</v>
      </c>
      <c r="N78" s="6">
        <v>-1.66805053599082</v>
      </c>
      <c r="O78" s="6">
        <v>1.6477260749963301</v>
      </c>
      <c r="P78" s="6">
        <v>-6.7175574091356198</v>
      </c>
      <c r="Q78" s="6">
        <v>-2.0170626645667</v>
      </c>
      <c r="R78" s="6">
        <v>-4.99346742681265</v>
      </c>
      <c r="S78" s="6">
        <v>1.32424552688298</v>
      </c>
      <c r="T78" s="6">
        <v>-4.6635006136896102</v>
      </c>
      <c r="U78" s="6">
        <v>-2.36935050127666</v>
      </c>
      <c r="V78" s="6">
        <v>-3.4883999138769801</v>
      </c>
      <c r="W78" s="6">
        <v>-2.0202009815709001</v>
      </c>
      <c r="X78" s="6">
        <v>2.1388828837417799</v>
      </c>
      <c r="Y78" s="6">
        <v>0</v>
      </c>
      <c r="Z78" s="6">
        <v>0.67043425469379903</v>
      </c>
      <c r="AA78" s="6">
        <v>1.5808508799107399</v>
      </c>
      <c r="AB78" s="6">
        <v>-1.0554896710450901</v>
      </c>
      <c r="AC78" s="6">
        <v>3.3577998139655101</v>
      </c>
      <c r="AD78" s="6">
        <v>2.2559790036061602</v>
      </c>
      <c r="AE78" s="6">
        <v>0</v>
      </c>
      <c r="AF78" s="6">
        <v>0</v>
      </c>
      <c r="AG78" s="6">
        <v>5.4904728164847496</v>
      </c>
      <c r="AH78" s="6">
        <v>-1.1402717010189201</v>
      </c>
      <c r="AI78" s="6">
        <v>-1.7310874915243999</v>
      </c>
      <c r="AJ78" s="6">
        <v>2.4058310641689298</v>
      </c>
      <c r="AK78" s="6">
        <v>1.83931675702354</v>
      </c>
      <c r="AL78" s="6">
        <v>-4.2218756463667804</v>
      </c>
      <c r="AM78" s="6">
        <v>2.6616608286072299</v>
      </c>
      <c r="AN78" s="6">
        <v>-8.1347458972784601</v>
      </c>
      <c r="AO78" s="6">
        <v>3.0782406017669999</v>
      </c>
      <c r="AP78" s="6">
        <v>0</v>
      </c>
      <c r="AQ78" s="6">
        <v>-2.66032237068903</v>
      </c>
      <c r="AR78" s="6">
        <v>2.5126618887424299</v>
      </c>
      <c r="AS78" s="6">
        <v>1.7099972826821299</v>
      </c>
      <c r="AT78" s="6">
        <v>0</v>
      </c>
      <c r="AU78" s="6">
        <v>3.2506546541480899</v>
      </c>
      <c r="AV78" s="6">
        <v>0</v>
      </c>
      <c r="AW78" s="6">
        <v>0</v>
      </c>
      <c r="AX78" s="6">
        <v>0</v>
      </c>
      <c r="AY78" s="6">
        <v>-3.9020822386841201</v>
      </c>
      <c r="AZ78" s="6">
        <v>-3.8736906365264301</v>
      </c>
      <c r="BA78" s="6">
        <v>1.7460147598362701</v>
      </c>
      <c r="BB78" s="6">
        <v>0</v>
      </c>
      <c r="BC78" s="6">
        <v>121.275955457113</v>
      </c>
    </row>
    <row r="79" spans="2:55" x14ac:dyDescent="0.25">
      <c r="B79" s="5">
        <v>40</v>
      </c>
      <c r="C79" s="5">
        <v>4</v>
      </c>
      <c r="D79" s="6">
        <v>1.3371658585742401</v>
      </c>
      <c r="E79" s="6">
        <v>-2.0843197939389899</v>
      </c>
      <c r="F79" s="6">
        <v>6.1334811462546199E-2</v>
      </c>
      <c r="G79" s="6">
        <v>3.06875101608833</v>
      </c>
      <c r="H79" s="6">
        <v>-1.7180075956571801</v>
      </c>
      <c r="I79" s="6">
        <v>2.2008825857746799</v>
      </c>
      <c r="J79" s="6">
        <v>6.3939968962316795E-2</v>
      </c>
      <c r="K79" s="6">
        <v>0</v>
      </c>
      <c r="L79" s="6">
        <v>-1.5596614469449299</v>
      </c>
      <c r="M79" s="6">
        <v>-1.36395414965263</v>
      </c>
      <c r="N79" s="6">
        <v>-0.59825580017855196</v>
      </c>
      <c r="O79" s="6">
        <v>0.37605889245099</v>
      </c>
      <c r="P79" s="6">
        <v>-3.2834553905682502</v>
      </c>
      <c r="Q79" s="6">
        <v>-0.22699101347831099</v>
      </c>
      <c r="R79" s="6">
        <v>-3.1496457930005901</v>
      </c>
      <c r="S79" s="6">
        <v>1.04435115607864</v>
      </c>
      <c r="T79" s="6">
        <v>-2.43213336824024</v>
      </c>
      <c r="U79" s="6">
        <v>-0.68335748633678295</v>
      </c>
      <c r="V79" s="6">
        <v>0.57309676376124596</v>
      </c>
      <c r="W79" s="6">
        <v>0.89358351988686102</v>
      </c>
      <c r="X79" s="6">
        <v>3.8415736229030899</v>
      </c>
      <c r="Y79" s="6">
        <v>2.6088118809969001</v>
      </c>
      <c r="Z79" s="6">
        <v>-0.97378362343710201</v>
      </c>
      <c r="AA79" s="6">
        <v>2.76264698211182</v>
      </c>
      <c r="AB79" s="6">
        <v>0</v>
      </c>
      <c r="AC79" s="6">
        <v>1.1201891312843899</v>
      </c>
      <c r="AD79" s="6">
        <v>1.43171459107751</v>
      </c>
      <c r="AE79" s="6">
        <v>-0.45282306854684101</v>
      </c>
      <c r="AF79" s="6">
        <v>0.58258764624700499</v>
      </c>
      <c r="AG79" s="6">
        <v>1.50963533929578</v>
      </c>
      <c r="AH79" s="6">
        <v>-2.0142104115889699</v>
      </c>
      <c r="AI79" s="6">
        <v>0</v>
      </c>
      <c r="AJ79" s="6">
        <v>0</v>
      </c>
      <c r="AK79" s="6">
        <v>3.1538732843078501</v>
      </c>
      <c r="AL79" s="6">
        <v>-0.820566116716542</v>
      </c>
      <c r="AM79" s="6">
        <v>-0.100011914027656</v>
      </c>
      <c r="AN79" s="6">
        <v>-2.4217713071565998</v>
      </c>
      <c r="AO79" s="6">
        <v>0</v>
      </c>
      <c r="AP79" s="6">
        <v>-1.2306427667589299</v>
      </c>
      <c r="AQ79" s="6">
        <v>-2.69338681322836</v>
      </c>
      <c r="AR79" s="6">
        <v>0</v>
      </c>
      <c r="AS79" s="6">
        <v>0.683280565965388</v>
      </c>
      <c r="AT79" s="6">
        <v>0</v>
      </c>
      <c r="AU79" s="6">
        <v>1.4273633357553701</v>
      </c>
      <c r="AV79" s="6">
        <v>2.02502465706268</v>
      </c>
      <c r="AW79" s="6">
        <v>0</v>
      </c>
      <c r="AX79" s="6">
        <v>0</v>
      </c>
      <c r="AY79" s="6">
        <v>-1.5837022161571399</v>
      </c>
      <c r="AZ79" s="6">
        <v>-2.5340835061628701</v>
      </c>
      <c r="BA79" s="6">
        <v>1.9498460267728599</v>
      </c>
      <c r="BB79" s="6">
        <v>0</v>
      </c>
      <c r="BC79" s="6">
        <v>139.47360620973001</v>
      </c>
    </row>
    <row r="80" spans="2:55" x14ac:dyDescent="0.25">
      <c r="B80" s="5">
        <v>40</v>
      </c>
      <c r="C80" s="5">
        <v>5</v>
      </c>
      <c r="D80" s="6">
        <v>-0.257773833915317</v>
      </c>
      <c r="E80" s="6">
        <v>-3.0170048114987602</v>
      </c>
      <c r="F80" s="6">
        <v>0.60826595826651098</v>
      </c>
      <c r="G80" s="6">
        <v>0.70694340914889198</v>
      </c>
      <c r="H80" s="6">
        <v>0</v>
      </c>
      <c r="I80" s="6">
        <v>1.68406822055804</v>
      </c>
      <c r="J80" s="6">
        <v>1.5282453963954199</v>
      </c>
      <c r="K80" s="6">
        <v>0.35932950321296703</v>
      </c>
      <c r="L80" s="6">
        <v>-2.45877769472076</v>
      </c>
      <c r="M80" s="6">
        <v>2.6279291971232701</v>
      </c>
      <c r="N80" s="6">
        <v>1.5410622654622499</v>
      </c>
      <c r="O80" s="6">
        <v>0</v>
      </c>
      <c r="P80" s="6">
        <v>0</v>
      </c>
      <c r="Q80" s="6">
        <v>0.77680346182278803</v>
      </c>
      <c r="R80" s="6">
        <v>-1.5718898348966699</v>
      </c>
      <c r="S80" s="6">
        <v>-0.77287421007355595</v>
      </c>
      <c r="T80" s="6">
        <v>-1.60697882314437</v>
      </c>
      <c r="U80" s="6">
        <v>0.51981982872342003</v>
      </c>
      <c r="V80" s="6">
        <v>0</v>
      </c>
      <c r="W80" s="6">
        <v>0</v>
      </c>
      <c r="X80" s="6">
        <v>0</v>
      </c>
      <c r="Y80" s="6">
        <v>0.86815988891045703</v>
      </c>
      <c r="Z80" s="6">
        <v>0</v>
      </c>
      <c r="AA80" s="6">
        <v>1.82777285575851</v>
      </c>
      <c r="AB80" s="6">
        <v>-1.0037641939341599</v>
      </c>
      <c r="AC80" s="6">
        <v>0.79705670097677594</v>
      </c>
      <c r="AD80" s="6">
        <v>0</v>
      </c>
      <c r="AE80" s="6">
        <v>0</v>
      </c>
      <c r="AF80" s="6">
        <v>0.118411530741134</v>
      </c>
      <c r="AG80" s="6">
        <v>0.34471971900562498</v>
      </c>
      <c r="AH80" s="6">
        <v>-1.60155518721773</v>
      </c>
      <c r="AI80" s="6">
        <v>1.3881033274169901</v>
      </c>
      <c r="AJ80" s="6">
        <v>0.249951139627762</v>
      </c>
      <c r="AK80" s="6">
        <v>3.08520732084461</v>
      </c>
      <c r="AL80" s="6">
        <v>0.40880395117653201</v>
      </c>
      <c r="AM80" s="6">
        <v>-0.31572092070306301</v>
      </c>
      <c r="AN80" s="6">
        <v>-1.86780161690417</v>
      </c>
      <c r="AO80" s="6">
        <v>-0.77791477194363101</v>
      </c>
      <c r="AP80" s="6">
        <v>-2.8442402113331702</v>
      </c>
      <c r="AQ80" s="6">
        <v>0.24772213261443299</v>
      </c>
      <c r="AR80" s="6">
        <v>-1.1864510910439701</v>
      </c>
      <c r="AS80" s="6">
        <v>3.85429210595909</v>
      </c>
      <c r="AT80" s="6">
        <v>-5.1860239648559201</v>
      </c>
      <c r="AU80" s="6">
        <v>1.94255582384248</v>
      </c>
      <c r="AV80" s="6">
        <v>-0.53308966150345904</v>
      </c>
      <c r="AW80" s="6">
        <v>-1.59608439946311</v>
      </c>
      <c r="AX80" s="6">
        <v>0.30403458002405198</v>
      </c>
      <c r="AY80" s="6">
        <v>-0.96698248547684995</v>
      </c>
      <c r="AZ80" s="6">
        <v>-0.33217203921820598</v>
      </c>
      <c r="BA80" s="6">
        <v>0</v>
      </c>
      <c r="BB80" s="6">
        <v>-0.32222861576303402</v>
      </c>
      <c r="BC80" s="6">
        <v>99.954077915902502</v>
      </c>
    </row>
    <row r="81" spans="2:55" x14ac:dyDescent="0.25">
      <c r="B81" s="5">
        <v>40</v>
      </c>
      <c r="C81" s="5">
        <v>6</v>
      </c>
      <c r="D81" s="6">
        <v>0.991248116747662</v>
      </c>
      <c r="E81" s="6">
        <v>-4.7127064480815903</v>
      </c>
      <c r="F81" s="6">
        <v>-0.75097667200135698</v>
      </c>
      <c r="G81" s="6">
        <v>-1.54325000615365</v>
      </c>
      <c r="H81" s="6">
        <v>-1.0730902543657601</v>
      </c>
      <c r="I81" s="6">
        <v>-0.59051970006616605</v>
      </c>
      <c r="J81" s="6">
        <v>-1.7983208645794</v>
      </c>
      <c r="K81" s="6">
        <v>1.4262581803869701</v>
      </c>
      <c r="L81" s="6">
        <v>-2.0133883275825202</v>
      </c>
      <c r="M81" s="6">
        <v>-2.3033643573115801</v>
      </c>
      <c r="N81" s="6">
        <v>0.30570102429072799</v>
      </c>
      <c r="O81" s="6">
        <v>1.0366271538857801</v>
      </c>
      <c r="P81" s="6">
        <v>-2.8575515663604798</v>
      </c>
      <c r="Q81" s="6">
        <v>0</v>
      </c>
      <c r="R81" s="6">
        <v>-4.3874933073163103</v>
      </c>
      <c r="S81" s="6">
        <v>1.4427177591939699</v>
      </c>
      <c r="T81" s="6">
        <v>0.116984758429001</v>
      </c>
      <c r="U81" s="6">
        <v>-1.11915093920397</v>
      </c>
      <c r="V81" s="6">
        <v>1.86146571367627</v>
      </c>
      <c r="W81" s="6">
        <v>-2.7617928166750998</v>
      </c>
      <c r="X81" s="6">
        <v>-0.93289272455747996</v>
      </c>
      <c r="Y81" s="6">
        <v>0.94596318017432002</v>
      </c>
      <c r="Z81" s="6">
        <v>0</v>
      </c>
      <c r="AA81" s="6">
        <v>1.38272514626711</v>
      </c>
      <c r="AB81" s="6">
        <v>-0.80741989782752899</v>
      </c>
      <c r="AC81" s="6">
        <v>1.66422762298299</v>
      </c>
      <c r="AD81" s="6">
        <v>2.025133303684</v>
      </c>
      <c r="AE81" s="6">
        <v>0.81705740600221899</v>
      </c>
      <c r="AF81" s="6">
        <v>0</v>
      </c>
      <c r="AG81" s="6">
        <v>0.61085909400062899</v>
      </c>
      <c r="AH81" s="6">
        <v>0</v>
      </c>
      <c r="AI81" s="6">
        <v>0</v>
      </c>
      <c r="AJ81" s="6">
        <v>1.42039777077443</v>
      </c>
      <c r="AK81" s="6">
        <v>0</v>
      </c>
      <c r="AL81" s="6">
        <v>-0.47195729684170701</v>
      </c>
      <c r="AM81" s="6">
        <v>0.34608894659683398</v>
      </c>
      <c r="AN81" s="6">
        <v>-4.5318471215028699</v>
      </c>
      <c r="AO81" s="6">
        <v>4.0305617827520397</v>
      </c>
      <c r="AP81" s="6">
        <v>1.8284038791639701</v>
      </c>
      <c r="AQ81" s="6">
        <v>0</v>
      </c>
      <c r="AR81" s="6">
        <v>0.75462882706720202</v>
      </c>
      <c r="AS81" s="6">
        <v>2.17626110247202</v>
      </c>
      <c r="AT81" s="6">
        <v>-2.9723042928624599</v>
      </c>
      <c r="AU81" s="6">
        <v>1.99661965976564</v>
      </c>
      <c r="AV81" s="6">
        <v>0.99514038370229196</v>
      </c>
      <c r="AW81" s="6">
        <v>-2.6387945747397499</v>
      </c>
      <c r="AX81" s="6">
        <v>0</v>
      </c>
      <c r="AY81" s="6">
        <v>-1.71374971444255</v>
      </c>
      <c r="AZ81" s="6">
        <v>0</v>
      </c>
      <c r="BA81" s="6">
        <v>0</v>
      </c>
      <c r="BB81" s="6">
        <v>1.0653076137911801</v>
      </c>
      <c r="BC81" s="6">
        <v>306.05855572545101</v>
      </c>
    </row>
    <row r="82" spans="2:55" x14ac:dyDescent="0.25">
      <c r="B82" s="5">
        <v>40</v>
      </c>
      <c r="C82" s="5">
        <v>7</v>
      </c>
      <c r="D82" s="6">
        <v>2.4116276877613698</v>
      </c>
      <c r="E82" s="6">
        <v>0.32453658535924801</v>
      </c>
      <c r="F82" s="6">
        <v>0.48759883440424401</v>
      </c>
      <c r="G82" s="6">
        <v>-1.05713762677621</v>
      </c>
      <c r="H82" s="6">
        <v>-0.62507983905876496</v>
      </c>
      <c r="I82" s="6">
        <v>0.49555538590551801</v>
      </c>
      <c r="J82" s="6">
        <v>0</v>
      </c>
      <c r="K82" s="6">
        <v>0</v>
      </c>
      <c r="L82" s="6">
        <v>-1.1995087213927</v>
      </c>
      <c r="M82" s="6">
        <v>-0.51810784022286704</v>
      </c>
      <c r="N82" s="6">
        <v>1.4414780615465299</v>
      </c>
      <c r="O82" s="6">
        <v>-0.39767283400903602</v>
      </c>
      <c r="P82" s="6">
        <v>0</v>
      </c>
      <c r="Q82" s="6">
        <v>0.30893945147480001</v>
      </c>
      <c r="R82" s="6">
        <v>-0.19043204149721099</v>
      </c>
      <c r="S82" s="6">
        <v>0.90472339485667397</v>
      </c>
      <c r="T82" s="6">
        <v>0</v>
      </c>
      <c r="U82" s="6">
        <v>0</v>
      </c>
      <c r="V82" s="6">
        <v>-0.68078189725289495</v>
      </c>
      <c r="W82" s="6">
        <v>1.64340993992579</v>
      </c>
      <c r="X82" s="6">
        <v>0.55738521102072403</v>
      </c>
      <c r="Y82" s="6">
        <v>1.87218392174927</v>
      </c>
      <c r="Z82" s="6">
        <v>-1.24801626611506</v>
      </c>
      <c r="AA82" s="6">
        <v>2.8431472127422901</v>
      </c>
      <c r="AB82" s="6">
        <v>2.3532420134822698</v>
      </c>
      <c r="AC82" s="6">
        <v>0.53828118039625406</v>
      </c>
      <c r="AD82" s="6">
        <v>4.0406518379465997</v>
      </c>
      <c r="AE82" s="6">
        <v>2.4635158935035899</v>
      </c>
      <c r="AF82" s="6">
        <v>0</v>
      </c>
      <c r="AG82" s="6">
        <v>1.18905090215001</v>
      </c>
      <c r="AH82" s="6">
        <v>-1.58944262844814</v>
      </c>
      <c r="AI82" s="6">
        <v>-1.5750870713657701</v>
      </c>
      <c r="AJ82" s="6">
        <v>-0.19442891548836</v>
      </c>
      <c r="AK82" s="6">
        <v>2.4409203704765798</v>
      </c>
      <c r="AL82" s="6">
        <v>0</v>
      </c>
      <c r="AM82" s="6">
        <v>1.86125974605222</v>
      </c>
      <c r="AN82" s="6">
        <v>-0.78372731676390095</v>
      </c>
      <c r="AO82" s="6">
        <v>0.913003245698357</v>
      </c>
      <c r="AP82" s="6">
        <v>-0.97411434656586804</v>
      </c>
      <c r="AQ82" s="6">
        <v>1.10560097808475</v>
      </c>
      <c r="AR82" s="6">
        <v>2.4853361202400199</v>
      </c>
      <c r="AS82" s="6">
        <v>0.62160488198637998</v>
      </c>
      <c r="AT82" s="6">
        <v>0</v>
      </c>
      <c r="AU82" s="6">
        <v>1.4780351625244901</v>
      </c>
      <c r="AV82" s="6">
        <v>0.175305587153056</v>
      </c>
      <c r="AW82" s="6">
        <v>0</v>
      </c>
      <c r="AX82" s="6">
        <v>0</v>
      </c>
      <c r="AY82" s="6">
        <v>-3.4287004452007701</v>
      </c>
      <c r="AZ82" s="6">
        <v>-0.78151641616954204</v>
      </c>
      <c r="BA82" s="6">
        <v>-0.45067800941494002</v>
      </c>
      <c r="BB82" s="6">
        <v>1.0456872199351801</v>
      </c>
      <c r="BC82" s="6">
        <v>30.182156869837801</v>
      </c>
    </row>
    <row r="83" spans="2:55" x14ac:dyDescent="0.25">
      <c r="B83" s="5">
        <v>40</v>
      </c>
      <c r="C83" s="5">
        <v>8</v>
      </c>
      <c r="D83" s="6">
        <v>1.01423585080751</v>
      </c>
      <c r="E83" s="6">
        <v>1.39810016214501</v>
      </c>
      <c r="F83" s="6">
        <v>0</v>
      </c>
      <c r="G83" s="6">
        <v>1.0917278089576199</v>
      </c>
      <c r="H83" s="6">
        <v>-3.1884195688902599</v>
      </c>
      <c r="I83" s="6">
        <v>-0.315252387298531</v>
      </c>
      <c r="J83" s="6">
        <v>-3.0140120967194899</v>
      </c>
      <c r="K83" s="6">
        <v>-4.4592609221312101</v>
      </c>
      <c r="L83" s="6">
        <v>0.81527123682179303</v>
      </c>
      <c r="M83" s="6">
        <v>-2.70002489820518</v>
      </c>
      <c r="N83" s="6">
        <v>0</v>
      </c>
      <c r="O83" s="6">
        <v>-0.34817410870395099</v>
      </c>
      <c r="P83" s="6">
        <v>1.87042302501393</v>
      </c>
      <c r="Q83" s="6">
        <v>0.51122340064433003</v>
      </c>
      <c r="R83" s="6">
        <v>0.22552059264065</v>
      </c>
      <c r="S83" s="6">
        <v>0</v>
      </c>
      <c r="T83" s="6">
        <v>1.31489096520471</v>
      </c>
      <c r="U83" s="6">
        <v>-0.96292276007181299</v>
      </c>
      <c r="V83" s="6">
        <v>3.3801790533594298</v>
      </c>
      <c r="W83" s="6">
        <v>7.1282668369436299</v>
      </c>
      <c r="X83" s="6">
        <v>3.2384369611203798</v>
      </c>
      <c r="Y83" s="6">
        <v>2.8191999854992198</v>
      </c>
      <c r="Z83" s="6">
        <v>-1.18142938032112</v>
      </c>
      <c r="AA83" s="6">
        <v>0</v>
      </c>
      <c r="AB83" s="6">
        <v>3.7752340328955798</v>
      </c>
      <c r="AC83" s="6">
        <v>0</v>
      </c>
      <c r="AD83" s="6">
        <v>3.6833871087412402</v>
      </c>
      <c r="AE83" s="6">
        <v>0</v>
      </c>
      <c r="AF83" s="6">
        <v>1.4852954952208901</v>
      </c>
      <c r="AG83" s="6">
        <v>1.10551226672073</v>
      </c>
      <c r="AH83" s="6">
        <v>-2.9554047984272702</v>
      </c>
      <c r="AI83" s="6">
        <v>0</v>
      </c>
      <c r="AJ83" s="6">
        <v>-1.49442402247894</v>
      </c>
      <c r="AK83" s="6">
        <v>0.99931453339801202</v>
      </c>
      <c r="AL83" s="6">
        <v>1.1674515043454901</v>
      </c>
      <c r="AM83" s="6">
        <v>0</v>
      </c>
      <c r="AN83" s="6">
        <v>4.32557270788819</v>
      </c>
      <c r="AO83" s="6">
        <v>1.01353972391495</v>
      </c>
      <c r="AP83" s="6">
        <v>-3.1080989891283699</v>
      </c>
      <c r="AQ83" s="6">
        <v>-0.395923255743513</v>
      </c>
      <c r="AR83" s="6">
        <v>0</v>
      </c>
      <c r="AS83" s="6">
        <v>-4.2162640050705003</v>
      </c>
      <c r="AT83" s="6">
        <v>5.8457692377633501</v>
      </c>
      <c r="AU83" s="6">
        <v>-2.07286959292172</v>
      </c>
      <c r="AV83" s="6">
        <v>3.1770421600394201</v>
      </c>
      <c r="AW83" s="6">
        <v>1.62982798924724</v>
      </c>
      <c r="AX83" s="6">
        <v>1.5595611094548301</v>
      </c>
      <c r="AY83" s="6">
        <v>-4.0256208068044197</v>
      </c>
      <c r="AZ83" s="6">
        <v>0</v>
      </c>
      <c r="BA83" s="6">
        <v>2.7819700056874201</v>
      </c>
      <c r="BB83" s="6">
        <v>2.5080651362392898</v>
      </c>
      <c r="BC83" s="6">
        <v>229.613886467675</v>
      </c>
    </row>
    <row r="84" spans="2:55" x14ac:dyDescent="0.25">
      <c r="B84" s="5">
        <v>40</v>
      </c>
      <c r="C84" s="5">
        <v>9</v>
      </c>
      <c r="D84" s="6">
        <v>-0.16422018032592001</v>
      </c>
      <c r="E84" s="6">
        <v>-4.0425563613246096</v>
      </c>
      <c r="F84" s="6">
        <v>0.96303830620435105</v>
      </c>
      <c r="G84" s="6">
        <v>2.4661146279987598</v>
      </c>
      <c r="H84" s="6">
        <v>-0.40566781936378099</v>
      </c>
      <c r="I84" s="6">
        <v>7.3387760625356497</v>
      </c>
      <c r="J84" s="6">
        <v>-0.590284149624415</v>
      </c>
      <c r="K84" s="6">
        <v>1.3403786856682101</v>
      </c>
      <c r="L84" s="6">
        <v>1.65397389442808</v>
      </c>
      <c r="M84" s="6">
        <v>2.15977732242458</v>
      </c>
      <c r="N84" s="6">
        <v>6.1390323066005497</v>
      </c>
      <c r="O84" s="6">
        <v>0</v>
      </c>
      <c r="P84" s="6">
        <v>-2.3840464884744801</v>
      </c>
      <c r="Q84" s="6">
        <v>3.59324664560258</v>
      </c>
      <c r="R84" s="6">
        <v>0</v>
      </c>
      <c r="S84" s="6">
        <v>0.37537567854002601</v>
      </c>
      <c r="T84" s="6">
        <v>0</v>
      </c>
      <c r="U84" s="6">
        <v>-1.0293333414214301</v>
      </c>
      <c r="V84" s="6">
        <v>2.2410539179578799</v>
      </c>
      <c r="W84" s="6">
        <v>-1.0298185913231801</v>
      </c>
      <c r="X84" s="6">
        <v>0.620550165235906</v>
      </c>
      <c r="Y84" s="6">
        <v>3.4128091103950999</v>
      </c>
      <c r="Z84" s="6">
        <v>-2.9138368344889098</v>
      </c>
      <c r="AA84" s="6">
        <v>6.4933885497342896</v>
      </c>
      <c r="AB84" s="6">
        <v>0</v>
      </c>
      <c r="AC84" s="6">
        <v>0</v>
      </c>
      <c r="AD84" s="6">
        <v>4.1679467508579</v>
      </c>
      <c r="AE84" s="6">
        <v>0.57839522875349003</v>
      </c>
      <c r="AF84" s="6">
        <v>1.63355763857374</v>
      </c>
      <c r="AG84" s="6">
        <v>0</v>
      </c>
      <c r="AH84" s="6">
        <v>0</v>
      </c>
      <c r="AI84" s="6">
        <v>0</v>
      </c>
      <c r="AJ84" s="6">
        <v>0</v>
      </c>
      <c r="AK84" s="6">
        <v>3.28513828306752</v>
      </c>
      <c r="AL84" s="6">
        <v>4.3611567202086396</v>
      </c>
      <c r="AM84" s="6">
        <v>-1.2838559860774099</v>
      </c>
      <c r="AN84" s="6">
        <v>0.41586736442839001</v>
      </c>
      <c r="AO84" s="6">
        <v>-2.9946066080145499</v>
      </c>
      <c r="AP84" s="6">
        <v>0</v>
      </c>
      <c r="AQ84" s="6">
        <v>-1.45564480931207</v>
      </c>
      <c r="AR84" s="6">
        <v>2.5920174994093799</v>
      </c>
      <c r="AS84" s="6">
        <v>6.1430954780066998</v>
      </c>
      <c r="AT84" s="6">
        <v>-4.84307417551158</v>
      </c>
      <c r="AU84" s="6">
        <v>0.743700128254284</v>
      </c>
      <c r="AV84" s="6">
        <v>-0.74943978903663699</v>
      </c>
      <c r="AW84" s="6">
        <v>-3.1448975441701199</v>
      </c>
      <c r="AX84" s="6">
        <v>-0.475792442047974</v>
      </c>
      <c r="AY84" s="6">
        <v>-3.50452617915944</v>
      </c>
      <c r="AZ84" s="6">
        <v>-2.09726793522402</v>
      </c>
      <c r="BA84" s="6">
        <v>-1.03030513615636</v>
      </c>
      <c r="BB84" s="6">
        <v>0.216852596320526</v>
      </c>
      <c r="BC84" s="6">
        <v>73.385300470203404</v>
      </c>
    </row>
    <row r="85" spans="2:55" x14ac:dyDescent="0.25">
      <c r="B85" s="5">
        <v>45</v>
      </c>
      <c r="C85" s="5">
        <v>0</v>
      </c>
      <c r="D85" s="6">
        <v>3.0573975236367699</v>
      </c>
      <c r="E85" s="6">
        <v>-2.0001438075348501</v>
      </c>
      <c r="F85" s="6">
        <v>0</v>
      </c>
      <c r="G85" s="6">
        <v>-0.55394070296747999</v>
      </c>
      <c r="H85" s="6">
        <v>-2.12412235192041</v>
      </c>
      <c r="I85" s="6">
        <v>-1.54410173128313E-3</v>
      </c>
      <c r="J85" s="6">
        <v>0</v>
      </c>
      <c r="K85" s="6">
        <v>0.73792638308244396</v>
      </c>
      <c r="L85" s="6">
        <v>-1.4034947972964</v>
      </c>
      <c r="M85" s="6">
        <v>-2.1141322937653602</v>
      </c>
      <c r="N85" s="6">
        <v>1.15406604005618</v>
      </c>
      <c r="O85" s="6">
        <v>1.2619770820416201</v>
      </c>
      <c r="P85" s="6">
        <v>-2.8958074288990301</v>
      </c>
      <c r="Q85" s="6">
        <v>-1.3416172372819299</v>
      </c>
      <c r="R85" s="6">
        <v>-1.0269768722931001</v>
      </c>
      <c r="S85" s="6">
        <v>0.76834047521326998</v>
      </c>
      <c r="T85" s="6">
        <v>-1.74563538890448</v>
      </c>
      <c r="U85" s="6">
        <v>-0.557042050870449</v>
      </c>
      <c r="V85" s="6">
        <v>-1.3919399209442</v>
      </c>
      <c r="W85" s="6">
        <v>-0.55368206298271205</v>
      </c>
      <c r="X85" s="6">
        <v>2.0691243115497602</v>
      </c>
      <c r="Y85" s="6">
        <v>1.44706977314912</v>
      </c>
      <c r="Z85" s="6">
        <v>-2.1205415292577099</v>
      </c>
      <c r="AA85" s="6">
        <v>2.2209251654672899</v>
      </c>
      <c r="AB85" s="6">
        <v>0.44933369267159001</v>
      </c>
      <c r="AC85" s="6">
        <v>2.01526337967789</v>
      </c>
      <c r="AD85" s="6">
        <v>2.37172778009707</v>
      </c>
      <c r="AE85" s="6">
        <v>1.6117942243522001</v>
      </c>
      <c r="AF85" s="6">
        <v>0.210658564199213</v>
      </c>
      <c r="AG85" s="6">
        <v>2.15211273838983</v>
      </c>
      <c r="AH85" s="6">
        <v>0</v>
      </c>
      <c r="AI85" s="6">
        <v>-2.3325502483959402</v>
      </c>
      <c r="AJ85" s="6">
        <v>1.3982219915371701</v>
      </c>
      <c r="AK85" s="6">
        <v>1.42075461335186</v>
      </c>
      <c r="AL85" s="6">
        <v>-0.42479298020088802</v>
      </c>
      <c r="AM85" s="6">
        <v>0.921538668642643</v>
      </c>
      <c r="AN85" s="6">
        <v>-4.6976091794305201</v>
      </c>
      <c r="AO85" s="6">
        <v>1.63232204771356</v>
      </c>
      <c r="AP85" s="6">
        <v>-0.317009157327173</v>
      </c>
      <c r="AQ85" s="6">
        <v>-0.65773519669987601</v>
      </c>
      <c r="AR85" s="6">
        <v>1.38195652495129</v>
      </c>
      <c r="AS85" s="6">
        <v>0</v>
      </c>
      <c r="AT85" s="6">
        <v>0</v>
      </c>
      <c r="AU85" s="6">
        <v>2.0365881989489298</v>
      </c>
      <c r="AV85" s="6">
        <v>0.75704223641691404</v>
      </c>
      <c r="AW85" s="6">
        <v>0.465245707455612</v>
      </c>
      <c r="AX85" s="6">
        <v>0.27300227218600298</v>
      </c>
      <c r="AY85" s="6">
        <v>-2.9785444008003301</v>
      </c>
      <c r="AZ85" s="6">
        <v>-2.0505991343727001</v>
      </c>
      <c r="BA85" s="6">
        <v>1.1331471056059099</v>
      </c>
      <c r="BB85" s="6">
        <v>0.50958866121903201</v>
      </c>
      <c r="BC85" s="6">
        <v>20.0322828244853</v>
      </c>
    </row>
    <row r="86" spans="2:55" x14ac:dyDescent="0.25">
      <c r="B86" s="5">
        <v>45</v>
      </c>
      <c r="C86" s="5">
        <v>1</v>
      </c>
      <c r="D86" s="6">
        <v>0.57028814344480405</v>
      </c>
      <c r="E86" s="6">
        <v>-1.2821446633901299</v>
      </c>
      <c r="F86" s="6">
        <v>-0.50691767118457198</v>
      </c>
      <c r="G86" s="6">
        <v>0</v>
      </c>
      <c r="H86" s="6">
        <v>-0.64160551009132705</v>
      </c>
      <c r="I86" s="6">
        <v>0</v>
      </c>
      <c r="J86" s="6">
        <v>0.89157559783235896</v>
      </c>
      <c r="K86" s="6">
        <v>0.39391930474192299</v>
      </c>
      <c r="L86" s="6">
        <v>-2.8528928602232302</v>
      </c>
      <c r="M86" s="6">
        <v>-1.1434311686245899</v>
      </c>
      <c r="N86" s="6">
        <v>-0.26298273228726998</v>
      </c>
      <c r="O86" s="6">
        <v>0.105281989850445</v>
      </c>
      <c r="P86" s="6">
        <v>-1.5644552591674099</v>
      </c>
      <c r="Q86" s="6">
        <v>-0.26330813785975199</v>
      </c>
      <c r="R86" s="6">
        <v>-1.51372036761322</v>
      </c>
      <c r="S86" s="6">
        <v>1.0175224033810299</v>
      </c>
      <c r="T86" s="6">
        <v>-2.9399098109749202</v>
      </c>
      <c r="U86" s="6">
        <v>-0.94247218312301395</v>
      </c>
      <c r="V86" s="6">
        <v>-2.7165036583240201</v>
      </c>
      <c r="W86" s="6">
        <v>-1.19541752861077</v>
      </c>
      <c r="X86" s="6">
        <v>0</v>
      </c>
      <c r="Y86" s="6">
        <v>0.367959393907274</v>
      </c>
      <c r="Z86" s="6">
        <v>-1.0592148988391299</v>
      </c>
      <c r="AA86" s="6">
        <v>1.1800485126509299</v>
      </c>
      <c r="AB86" s="6">
        <v>0.21849477972100101</v>
      </c>
      <c r="AC86" s="6">
        <v>-0.25799845357705897</v>
      </c>
      <c r="AD86" s="6">
        <v>2.80954044455448</v>
      </c>
      <c r="AE86" s="6">
        <v>0.56735828479695205</v>
      </c>
      <c r="AF86" s="6">
        <v>-0.95604042841028603</v>
      </c>
      <c r="AG86" s="6">
        <v>2.7431537209096799</v>
      </c>
      <c r="AH86" s="6">
        <v>0</v>
      </c>
      <c r="AI86" s="6">
        <v>-1.62082016860844</v>
      </c>
      <c r="AJ86" s="6">
        <v>0.17510788110634201</v>
      </c>
      <c r="AK86" s="6">
        <v>1.4694162100425201</v>
      </c>
      <c r="AL86" s="6">
        <v>-1.8412053985599801</v>
      </c>
      <c r="AM86" s="6">
        <v>1.55471456488753</v>
      </c>
      <c r="AN86" s="6">
        <v>-2.58201885750979</v>
      </c>
      <c r="AO86" s="6">
        <v>0.93035486007420798</v>
      </c>
      <c r="AP86" s="6">
        <v>-0.65551550682579796</v>
      </c>
      <c r="AQ86" s="6">
        <v>-0.53506166534528998</v>
      </c>
      <c r="AR86" s="6">
        <v>2.4937744338084902</v>
      </c>
      <c r="AS86" s="6">
        <v>1.8729186930264901</v>
      </c>
      <c r="AT86" s="6">
        <v>-0.77310583961946699</v>
      </c>
      <c r="AU86" s="6">
        <v>3.46760245830498</v>
      </c>
      <c r="AV86" s="6">
        <v>0.78254714778692702</v>
      </c>
      <c r="AW86" s="6">
        <v>0</v>
      </c>
      <c r="AX86" s="6">
        <v>1.16402599047431</v>
      </c>
      <c r="AY86" s="6">
        <v>-2.9597187495330899</v>
      </c>
      <c r="AZ86" s="6">
        <v>-1.2642185243425501</v>
      </c>
      <c r="BA86" s="6">
        <v>0.23866875251499101</v>
      </c>
      <c r="BB86" s="6">
        <v>0.971917419591249</v>
      </c>
      <c r="BC86" s="6">
        <v>75.612642945193997</v>
      </c>
    </row>
    <row r="87" spans="2:55" x14ac:dyDescent="0.25">
      <c r="B87" s="5">
        <v>45</v>
      </c>
      <c r="C87" s="5">
        <v>2</v>
      </c>
      <c r="D87" s="6">
        <v>3.1873265276735498</v>
      </c>
      <c r="E87" s="6">
        <v>-0.35714286864449801</v>
      </c>
      <c r="F87" s="6">
        <v>8.3375102714208497E-5</v>
      </c>
      <c r="G87" s="6">
        <v>-1.05613207747146</v>
      </c>
      <c r="H87" s="6">
        <v>-2.04413249406063</v>
      </c>
      <c r="I87" s="6">
        <v>0</v>
      </c>
      <c r="J87" s="6">
        <v>-0.11801418741568701</v>
      </c>
      <c r="K87" s="6">
        <v>2.82267574767004E-2</v>
      </c>
      <c r="L87" s="6">
        <v>0</v>
      </c>
      <c r="M87" s="6">
        <v>-1.5555383583472699</v>
      </c>
      <c r="N87" s="6">
        <v>2.10616998676926</v>
      </c>
      <c r="O87" s="6">
        <v>0.11719331099134001</v>
      </c>
      <c r="P87" s="6">
        <v>-0.92377551157202398</v>
      </c>
      <c r="Q87" s="6">
        <v>0</v>
      </c>
      <c r="R87" s="6">
        <v>0.528289673616407</v>
      </c>
      <c r="S87" s="6">
        <v>0.57860501092918404</v>
      </c>
      <c r="T87" s="6">
        <v>1.0797663581532499</v>
      </c>
      <c r="U87" s="6">
        <v>-0.134599071050441</v>
      </c>
      <c r="V87" s="6">
        <v>0.54451255878956994</v>
      </c>
      <c r="W87" s="6">
        <v>3.3315159501728302</v>
      </c>
      <c r="X87" s="6">
        <v>2.0942731093973102</v>
      </c>
      <c r="Y87" s="6">
        <v>1.9684218553385</v>
      </c>
      <c r="Z87" s="6">
        <v>-0.78032072870321401</v>
      </c>
      <c r="AA87" s="6">
        <v>2.4713438163350698</v>
      </c>
      <c r="AB87" s="6">
        <v>3.1372932278042698</v>
      </c>
      <c r="AC87" s="6">
        <v>0.67256035748480603</v>
      </c>
      <c r="AD87" s="6">
        <v>3.9508779986874401</v>
      </c>
      <c r="AE87" s="6">
        <v>2.4014802015399299</v>
      </c>
      <c r="AF87" s="6">
        <v>1.17888587806001</v>
      </c>
      <c r="AG87" s="6">
        <v>1.8023364270022399</v>
      </c>
      <c r="AH87" s="6">
        <v>-0.87550087781334796</v>
      </c>
      <c r="AI87" s="6">
        <v>-1.4773954056204399</v>
      </c>
      <c r="AJ87" s="6">
        <v>-0.23804483234225601</v>
      </c>
      <c r="AK87" s="6">
        <v>1.76970145768925</v>
      </c>
      <c r="AL87" s="6">
        <v>0.53907284389898003</v>
      </c>
      <c r="AM87" s="6">
        <v>1.4778833055849301</v>
      </c>
      <c r="AN87" s="6">
        <v>-1.3413459893187401</v>
      </c>
      <c r="AO87" s="6">
        <v>0</v>
      </c>
      <c r="AP87" s="6">
        <v>-1.8326146408038599</v>
      </c>
      <c r="AQ87" s="6">
        <v>0.92626386298540497</v>
      </c>
      <c r="AR87" s="6">
        <v>1.9731855030859</v>
      </c>
      <c r="AS87" s="6">
        <v>-0.515089642158712</v>
      </c>
      <c r="AT87" s="6">
        <v>1.82318864555385</v>
      </c>
      <c r="AU87" s="6">
        <v>-0.30130917787049699</v>
      </c>
      <c r="AV87" s="6">
        <v>-0.19675009081545</v>
      </c>
      <c r="AW87" s="6">
        <v>0.62591986910999697</v>
      </c>
      <c r="AX87" s="6">
        <v>0</v>
      </c>
      <c r="AY87" s="6">
        <v>-4.1509371713147898</v>
      </c>
      <c r="AZ87" s="6">
        <v>-1.7555133460024299</v>
      </c>
      <c r="BA87" s="6">
        <v>8.7567968051794703E-2</v>
      </c>
      <c r="BB87" s="6">
        <v>1.24460725693906</v>
      </c>
      <c r="BC87" s="6">
        <v>32.777347246260099</v>
      </c>
    </row>
    <row r="88" spans="2:55" x14ac:dyDescent="0.25">
      <c r="B88" s="5">
        <v>45</v>
      </c>
      <c r="C88" s="5">
        <v>3</v>
      </c>
      <c r="D88" s="6">
        <v>1.63249359390588</v>
      </c>
      <c r="E88" s="6">
        <v>3.1437566213103199</v>
      </c>
      <c r="F88" s="6">
        <v>2.18153831506199</v>
      </c>
      <c r="G88" s="6">
        <v>-0.87078373179652002</v>
      </c>
      <c r="H88" s="6">
        <v>-1.6412252065750099</v>
      </c>
      <c r="I88" s="6">
        <v>0.136833405812576</v>
      </c>
      <c r="J88" s="6">
        <v>1.4929210897590099</v>
      </c>
      <c r="K88" s="6">
        <v>-1.59356357736405</v>
      </c>
      <c r="L88" s="6">
        <v>-3.8632311310838201</v>
      </c>
      <c r="M88" s="6">
        <v>-3.06931469253036</v>
      </c>
      <c r="N88" s="6">
        <v>-5.7817352082639397</v>
      </c>
      <c r="O88" s="6">
        <v>-0.24650382035990601</v>
      </c>
      <c r="P88" s="6">
        <v>0</v>
      </c>
      <c r="Q88" s="6">
        <v>-6.0339385376285799</v>
      </c>
      <c r="R88" s="6">
        <v>-0.33403795129559299</v>
      </c>
      <c r="S88" s="6">
        <v>4.1727359767675596</v>
      </c>
      <c r="T88" s="6">
        <v>-11.568423085007201</v>
      </c>
      <c r="U88" s="6">
        <v>0.40301601336896697</v>
      </c>
      <c r="V88" s="6">
        <v>-9.5058230085061002</v>
      </c>
      <c r="W88" s="6">
        <v>0.14463054160964101</v>
      </c>
      <c r="X88" s="6">
        <v>2.8233906671218301</v>
      </c>
      <c r="Y88" s="6">
        <v>3.8110680836603099</v>
      </c>
      <c r="Z88" s="6">
        <v>0.68980981202418701</v>
      </c>
      <c r="AA88" s="6">
        <v>0.146408181634712</v>
      </c>
      <c r="AB88" s="6">
        <v>1.34599454365011</v>
      </c>
      <c r="AC88" s="6">
        <v>2.3634939586700598</v>
      </c>
      <c r="AD88" s="6">
        <v>1.6730617464855799</v>
      </c>
      <c r="AE88" s="6">
        <v>-1.0364389537444301</v>
      </c>
      <c r="AF88" s="6">
        <v>-6.1544046315652396</v>
      </c>
      <c r="AG88" s="6">
        <v>0</v>
      </c>
      <c r="AH88" s="6">
        <v>-1.9447083541010499</v>
      </c>
      <c r="AI88" s="6">
        <v>-7.5287115223910401</v>
      </c>
      <c r="AJ88" s="6">
        <v>-0.42688068204633101</v>
      </c>
      <c r="AK88" s="6">
        <v>4.2723123287186198</v>
      </c>
      <c r="AL88" s="6">
        <v>0</v>
      </c>
      <c r="AM88" s="6">
        <v>3.8329890902679802</v>
      </c>
      <c r="AN88" s="6">
        <v>-9.3341611127742699</v>
      </c>
      <c r="AO88" s="6">
        <v>3.0272270082297101</v>
      </c>
      <c r="AP88" s="6">
        <v>-2.1698169220517398</v>
      </c>
      <c r="AQ88" s="6">
        <v>-4.3083227689725598</v>
      </c>
      <c r="AR88" s="6">
        <v>0.68033023240387203</v>
      </c>
      <c r="AS88" s="6">
        <v>0.72788487953606495</v>
      </c>
      <c r="AT88" s="6">
        <v>0</v>
      </c>
      <c r="AU88" s="6">
        <v>5.5014454795112702</v>
      </c>
      <c r="AV88" s="6">
        <v>3.28147038548668</v>
      </c>
      <c r="AW88" s="6">
        <v>1.06810299549203</v>
      </c>
      <c r="AX88" s="6">
        <v>0.53591116953764495</v>
      </c>
      <c r="AY88" s="6">
        <v>0</v>
      </c>
      <c r="AZ88" s="6">
        <v>-2.0103007632244201</v>
      </c>
      <c r="BA88" s="6">
        <v>3.0006990803251199</v>
      </c>
      <c r="BB88" s="6">
        <v>2.0103377598833001</v>
      </c>
      <c r="BC88" s="6">
        <v>609.41641506698898</v>
      </c>
    </row>
    <row r="89" spans="2:55" x14ac:dyDescent="0.25">
      <c r="B89" s="5">
        <v>45</v>
      </c>
      <c r="C89" s="5">
        <v>4</v>
      </c>
      <c r="D89" s="6">
        <v>7.1677372958180996</v>
      </c>
      <c r="E89" s="6">
        <v>-2.9561425852784802</v>
      </c>
      <c r="F89" s="6">
        <v>4.2059288414467204</v>
      </c>
      <c r="G89" s="6">
        <v>-1.1240114608204299</v>
      </c>
      <c r="H89" s="6">
        <v>-1.32186439085232</v>
      </c>
      <c r="I89" s="6">
        <v>0</v>
      </c>
      <c r="J89" s="6">
        <v>2.1453394443660199</v>
      </c>
      <c r="K89" s="6">
        <v>0.92510910614303699</v>
      </c>
      <c r="L89" s="6">
        <v>-3.30698624805314</v>
      </c>
      <c r="M89" s="6">
        <v>-0.38264072424136703</v>
      </c>
      <c r="N89" s="6">
        <v>1.0038834563760299</v>
      </c>
      <c r="O89" s="6">
        <v>0</v>
      </c>
      <c r="P89" s="6">
        <v>-3.45967930420144</v>
      </c>
      <c r="Q89" s="6">
        <v>-3.27194095392852</v>
      </c>
      <c r="R89" s="6">
        <v>-0.70844958843831296</v>
      </c>
      <c r="S89" s="6">
        <v>2.9486580911338001</v>
      </c>
      <c r="T89" s="6">
        <v>-3.9325810373848298</v>
      </c>
      <c r="U89" s="6">
        <v>-6.3344741860393905E-2</v>
      </c>
      <c r="V89" s="6">
        <v>-5.6177647788862801</v>
      </c>
      <c r="W89" s="6">
        <v>1.2767660969721399</v>
      </c>
      <c r="X89" s="6">
        <v>6.2410847852942997</v>
      </c>
      <c r="Y89" s="6">
        <v>4.7346436297132604</v>
      </c>
      <c r="Z89" s="6">
        <v>-0.301060374647863</v>
      </c>
      <c r="AA89" s="6">
        <v>5.22099004265805</v>
      </c>
      <c r="AB89" s="6">
        <v>2.3640525228948999</v>
      </c>
      <c r="AC89" s="6">
        <v>7.4237044278806401</v>
      </c>
      <c r="AD89" s="6">
        <v>0.21811621246562801</v>
      </c>
      <c r="AE89" s="6">
        <v>-0.151682005563721</v>
      </c>
      <c r="AF89" s="6">
        <v>-1.095018357451</v>
      </c>
      <c r="AG89" s="6">
        <v>2.07727267622254</v>
      </c>
      <c r="AH89" s="6">
        <v>-1.4381580495547099</v>
      </c>
      <c r="AI89" s="6">
        <v>-1.5774732754418299</v>
      </c>
      <c r="AJ89" s="6">
        <v>-6.7334100415480103E-2</v>
      </c>
      <c r="AK89" s="6">
        <v>6.6543978360391698</v>
      </c>
      <c r="AL89" s="6">
        <v>-0.91126333827762396</v>
      </c>
      <c r="AM89" s="6">
        <v>2.4912084295221502</v>
      </c>
      <c r="AN89" s="6">
        <v>-12.3104653055064</v>
      </c>
      <c r="AO89" s="6">
        <v>-0.81826701458226903</v>
      </c>
      <c r="AP89" s="6">
        <v>-4.34260628618103</v>
      </c>
      <c r="AQ89" s="6">
        <v>-1.8448418301202001</v>
      </c>
      <c r="AR89" s="6">
        <v>0</v>
      </c>
      <c r="AS89" s="6">
        <v>5.4013563927710502</v>
      </c>
      <c r="AT89" s="6">
        <v>-4.8209720839040102</v>
      </c>
      <c r="AU89" s="6">
        <v>4.17519115137158</v>
      </c>
      <c r="AV89" s="6">
        <v>0</v>
      </c>
      <c r="AW89" s="6">
        <v>-2.7904540732954</v>
      </c>
      <c r="AX89" s="6">
        <v>-2.46531322895023</v>
      </c>
      <c r="AY89" s="6">
        <v>0</v>
      </c>
      <c r="AZ89" s="6">
        <v>-3.7910590392526</v>
      </c>
      <c r="BA89" s="6">
        <v>2.6575597431827598</v>
      </c>
      <c r="BB89" s="6">
        <v>-0.22179958068629699</v>
      </c>
      <c r="BC89" s="6">
        <v>295.881713981394</v>
      </c>
    </row>
    <row r="90" spans="2:55" x14ac:dyDescent="0.25">
      <c r="B90" s="5">
        <v>45</v>
      </c>
      <c r="C90" s="5">
        <v>5</v>
      </c>
      <c r="D90" s="6">
        <v>0.61816862807297102</v>
      </c>
      <c r="E90" s="6">
        <v>-3.36524675952219</v>
      </c>
      <c r="F90" s="6">
        <v>0.39203309711414802</v>
      </c>
      <c r="G90" s="6">
        <v>-3.61561448269872</v>
      </c>
      <c r="H90" s="6">
        <v>-2.1124363359022298</v>
      </c>
      <c r="I90" s="6">
        <v>0.991965066642432</v>
      </c>
      <c r="J90" s="6">
        <v>-2.1296818914231301</v>
      </c>
      <c r="K90" s="6">
        <v>-1.3655421683698901</v>
      </c>
      <c r="L90" s="6">
        <v>-2.19026460418192</v>
      </c>
      <c r="M90" s="6">
        <v>-0.237530078130715</v>
      </c>
      <c r="N90" s="6">
        <v>2.9721136970308999</v>
      </c>
      <c r="O90" s="6">
        <v>-0.34371254862974898</v>
      </c>
      <c r="P90" s="6">
        <v>0.67910687809528003</v>
      </c>
      <c r="Q90" s="6">
        <v>0.31570104934656901</v>
      </c>
      <c r="R90" s="6">
        <v>-1.0444284134958099</v>
      </c>
      <c r="S90" s="6">
        <v>1.08005350684126</v>
      </c>
      <c r="T90" s="6">
        <v>0</v>
      </c>
      <c r="U90" s="6">
        <v>-2.68397328870866</v>
      </c>
      <c r="V90" s="6">
        <v>3.20974369665874</v>
      </c>
      <c r="W90" s="6">
        <v>-0.46497088752519</v>
      </c>
      <c r="X90" s="6">
        <v>-2.3428492250774</v>
      </c>
      <c r="Y90" s="6">
        <v>1.7142895819264901</v>
      </c>
      <c r="Z90" s="6">
        <v>0.52663491413338004</v>
      </c>
      <c r="AA90" s="6">
        <v>1.06645823253116</v>
      </c>
      <c r="AB90" s="6">
        <v>0.59046792170125595</v>
      </c>
      <c r="AC90" s="6">
        <v>0</v>
      </c>
      <c r="AD90" s="6">
        <v>-2.8240353032096399</v>
      </c>
      <c r="AE90" s="6">
        <v>2.1170166154315599</v>
      </c>
      <c r="AF90" s="6">
        <v>0.245451041831595</v>
      </c>
      <c r="AG90" s="6">
        <v>4.03554559973366</v>
      </c>
      <c r="AH90" s="6">
        <v>-3.7006461162502098</v>
      </c>
      <c r="AI90" s="6">
        <v>0</v>
      </c>
      <c r="AJ90" s="6">
        <v>-0.10108576878379601</v>
      </c>
      <c r="AK90" s="6">
        <v>7.0985837005049707E-2</v>
      </c>
      <c r="AL90" s="6">
        <v>1.3131771549939599</v>
      </c>
      <c r="AM90" s="6">
        <v>-1.9097902423619899</v>
      </c>
      <c r="AN90" s="6">
        <v>0</v>
      </c>
      <c r="AO90" s="6">
        <v>1.00053720769479</v>
      </c>
      <c r="AP90" s="6">
        <v>-4.6652229985263904</v>
      </c>
      <c r="AQ90" s="6">
        <v>2.1912163481212801</v>
      </c>
      <c r="AR90" s="6">
        <v>0.41370707192346801</v>
      </c>
      <c r="AS90" s="6">
        <v>1.4056968674850701</v>
      </c>
      <c r="AT90" s="6">
        <v>0</v>
      </c>
      <c r="AU90" s="6">
        <v>2.8586758217466501</v>
      </c>
      <c r="AV90" s="6">
        <v>1.67983122650876</v>
      </c>
      <c r="AW90" s="6">
        <v>-4.82206330917416</v>
      </c>
      <c r="AX90" s="6">
        <v>2.90593067785561</v>
      </c>
      <c r="AY90" s="6">
        <v>-2.8160515665948198</v>
      </c>
      <c r="AZ90" s="6">
        <v>1.077266838291</v>
      </c>
      <c r="BA90" s="6">
        <v>1.19037941128102</v>
      </c>
      <c r="BB90" s="6">
        <v>-8.0947158611728701E-2</v>
      </c>
      <c r="BC90" s="6">
        <v>193.48626200766401</v>
      </c>
    </row>
    <row r="91" spans="2:55" x14ac:dyDescent="0.25">
      <c r="B91" s="5">
        <v>45</v>
      </c>
      <c r="C91" s="5">
        <v>6</v>
      </c>
      <c r="D91" s="6">
        <v>2.2129313035286802</v>
      </c>
      <c r="E91" s="6">
        <v>-0.93886529312081901</v>
      </c>
      <c r="F91" s="6">
        <v>1.2059171457601801</v>
      </c>
      <c r="G91" s="6">
        <v>0</v>
      </c>
      <c r="H91" s="6">
        <v>-1.6802227073715701</v>
      </c>
      <c r="I91" s="6">
        <v>4.6080665027318499</v>
      </c>
      <c r="J91" s="6">
        <v>-1.7815700454593399</v>
      </c>
      <c r="K91" s="6">
        <v>-0.27059785779574902</v>
      </c>
      <c r="L91" s="6">
        <v>-0.31671731058469099</v>
      </c>
      <c r="M91" s="6">
        <v>-2.0463226895483801</v>
      </c>
      <c r="N91" s="6">
        <v>1.6704574199520701</v>
      </c>
      <c r="O91" s="6">
        <v>0.360145802488263</v>
      </c>
      <c r="P91" s="6">
        <v>-2.3955427733219401</v>
      </c>
      <c r="Q91" s="6">
        <v>0</v>
      </c>
      <c r="R91" s="6">
        <v>0</v>
      </c>
      <c r="S91" s="6">
        <v>2.6358552126850499</v>
      </c>
      <c r="T91" s="6">
        <v>-5.1527781603425202</v>
      </c>
      <c r="U91" s="6">
        <v>-3.4074701702989598</v>
      </c>
      <c r="V91" s="6">
        <v>-3.04201888138383</v>
      </c>
      <c r="W91" s="6">
        <v>1.19272678220649</v>
      </c>
      <c r="X91" s="6">
        <v>2.7019384835771398</v>
      </c>
      <c r="Y91" s="6">
        <v>3.6097380729746602</v>
      </c>
      <c r="Z91" s="6">
        <v>-4.1883430376856898</v>
      </c>
      <c r="AA91" s="6">
        <v>3.9190337970085598</v>
      </c>
      <c r="AB91" s="6">
        <v>1.2154172441048701</v>
      </c>
      <c r="AC91" s="6">
        <v>0.51321876367336305</v>
      </c>
      <c r="AD91" s="6">
        <v>2.7360708744379001</v>
      </c>
      <c r="AE91" s="6">
        <v>2.5848194548569698</v>
      </c>
      <c r="AF91" s="6">
        <v>-0.31476526954275402</v>
      </c>
      <c r="AG91" s="6">
        <v>2.3993427427176401</v>
      </c>
      <c r="AH91" s="6">
        <v>-3.7026891369251902</v>
      </c>
      <c r="AI91" s="6">
        <v>-4.8450043087405801</v>
      </c>
      <c r="AJ91" s="6">
        <v>-0.39828946804350102</v>
      </c>
      <c r="AK91" s="6">
        <v>2.8758764113411601</v>
      </c>
      <c r="AL91" s="6">
        <v>1.46852376769671</v>
      </c>
      <c r="AM91" s="6">
        <v>0.192873772782647</v>
      </c>
      <c r="AN91" s="6">
        <v>0</v>
      </c>
      <c r="AO91" s="6">
        <v>0</v>
      </c>
      <c r="AP91" s="6">
        <v>-1.8798122772194801</v>
      </c>
      <c r="AQ91" s="6">
        <v>-2.08804215731515</v>
      </c>
      <c r="AR91" s="6">
        <v>4.4991550587633</v>
      </c>
      <c r="AS91" s="6">
        <v>-1.5449684950907601</v>
      </c>
      <c r="AT91" s="6">
        <v>3.6016267330180201</v>
      </c>
      <c r="AU91" s="6">
        <v>3.32461923395417</v>
      </c>
      <c r="AV91" s="6">
        <v>1.7156351296991501</v>
      </c>
      <c r="AW91" s="6">
        <v>-1.2961433293901099</v>
      </c>
      <c r="AX91" s="6">
        <v>-1.69851289031843E-2</v>
      </c>
      <c r="AY91" s="6">
        <v>-3.9628618684636798</v>
      </c>
      <c r="AZ91" s="6">
        <v>-3.1629597491135502</v>
      </c>
      <c r="BA91" s="6">
        <v>-0.90056150922468703</v>
      </c>
      <c r="BB91" s="6">
        <v>-0.47596137411227002</v>
      </c>
      <c r="BC91" s="6">
        <v>204.051914887165</v>
      </c>
    </row>
    <row r="92" spans="2:55" x14ac:dyDescent="0.25">
      <c r="B92" s="5">
        <v>45</v>
      </c>
      <c r="C92" s="5">
        <v>7</v>
      </c>
      <c r="D92" s="6">
        <v>1.5169061925810701</v>
      </c>
      <c r="E92" s="6">
        <v>-0.22398335026944999</v>
      </c>
      <c r="F92" s="6">
        <v>-0.84943725870135001</v>
      </c>
      <c r="G92" s="6">
        <v>0</v>
      </c>
      <c r="H92" s="6">
        <v>2.9644468861296399E-2</v>
      </c>
      <c r="I92" s="6">
        <v>0.23947242241323199</v>
      </c>
      <c r="J92" s="6">
        <v>1.5459597783379</v>
      </c>
      <c r="K92" s="6">
        <v>1.5314223084118299</v>
      </c>
      <c r="L92" s="6">
        <v>-2.5882766572762002</v>
      </c>
      <c r="M92" s="6">
        <v>0.22830541132767199</v>
      </c>
      <c r="N92" s="6">
        <v>-9.5563519363530594E-2</v>
      </c>
      <c r="O92" s="6">
        <v>-0.27818772785602702</v>
      </c>
      <c r="P92" s="6">
        <v>-0.92575074879958397</v>
      </c>
      <c r="Q92" s="6">
        <v>0</v>
      </c>
      <c r="R92" s="6">
        <v>-1.3027158367642</v>
      </c>
      <c r="S92" s="6">
        <v>-9.3831472058788903E-2</v>
      </c>
      <c r="T92" s="6">
        <v>-0.53464553484703403</v>
      </c>
      <c r="U92" s="6">
        <v>0.57131763904203403</v>
      </c>
      <c r="V92" s="6">
        <v>-3.0318457674797199</v>
      </c>
      <c r="W92" s="6">
        <v>0</v>
      </c>
      <c r="X92" s="6">
        <v>0.31119859598405503</v>
      </c>
      <c r="Y92" s="6">
        <v>0</v>
      </c>
      <c r="Z92" s="6">
        <v>-0.87416202407327803</v>
      </c>
      <c r="AA92" s="6">
        <v>1.8142925470961899</v>
      </c>
      <c r="AB92" s="6">
        <v>0.79283962531661301</v>
      </c>
      <c r="AC92" s="6">
        <v>-0.134283766286343</v>
      </c>
      <c r="AD92" s="6">
        <v>3.4651501095073201</v>
      </c>
      <c r="AE92" s="6">
        <v>1.7730322020338101</v>
      </c>
      <c r="AF92" s="6">
        <v>-0.701477562928844</v>
      </c>
      <c r="AG92" s="6">
        <v>1.1044866613693101</v>
      </c>
      <c r="AH92" s="6">
        <v>0</v>
      </c>
      <c r="AI92" s="6">
        <v>-0.79665633861420304</v>
      </c>
      <c r="AJ92" s="6">
        <v>1.0718710270018601</v>
      </c>
      <c r="AK92" s="6">
        <v>2.5336545107280601</v>
      </c>
      <c r="AL92" s="6">
        <v>-2.0045397918701102</v>
      </c>
      <c r="AM92" s="6">
        <v>2.5433163205274201</v>
      </c>
      <c r="AN92" s="6">
        <v>-2.9117114978769698</v>
      </c>
      <c r="AO92" s="6">
        <v>0.46527140831050701</v>
      </c>
      <c r="AP92" s="6">
        <v>0.118776083220635</v>
      </c>
      <c r="AQ92" s="6">
        <v>0.42461619039181903</v>
      </c>
      <c r="AR92" s="6">
        <v>1.6636052911566199</v>
      </c>
      <c r="AS92" s="6">
        <v>1.44944741413698</v>
      </c>
      <c r="AT92" s="6">
        <v>-1.6658902493282299</v>
      </c>
      <c r="AU92" s="6">
        <v>2.1546884791152601</v>
      </c>
      <c r="AV92" s="6">
        <v>-0.63624116363300398</v>
      </c>
      <c r="AW92" s="6">
        <v>1.4656918612308301</v>
      </c>
      <c r="AX92" s="6">
        <v>1.08209291350071</v>
      </c>
      <c r="AY92" s="6">
        <v>-2.9715930197990899</v>
      </c>
      <c r="AZ92" s="6">
        <v>-1.6363718744255999</v>
      </c>
      <c r="BA92" s="6">
        <v>-0.62616602067999105</v>
      </c>
      <c r="BB92" s="6">
        <v>0.86384867479712102</v>
      </c>
      <c r="BC92" s="6">
        <v>38.888606079023198</v>
      </c>
    </row>
    <row r="93" spans="2:55" x14ac:dyDescent="0.25">
      <c r="B93" s="5">
        <v>45</v>
      </c>
      <c r="C93" s="5">
        <v>8</v>
      </c>
      <c r="D93" s="6">
        <v>3.3767383955925898</v>
      </c>
      <c r="E93" s="6">
        <v>-2.0191142246096798</v>
      </c>
      <c r="F93" s="6">
        <v>-0.67106638664121099</v>
      </c>
      <c r="G93" s="6">
        <v>1.02149558883157</v>
      </c>
      <c r="H93" s="6">
        <v>-3.5715822549954601</v>
      </c>
      <c r="I93" s="6">
        <v>-1.4906432019673099</v>
      </c>
      <c r="J93" s="6">
        <v>1.77552981336682</v>
      </c>
      <c r="K93" s="6">
        <v>0</v>
      </c>
      <c r="L93" s="6">
        <v>-1.3494929928378401</v>
      </c>
      <c r="M93" s="6">
        <v>-3.95678701597723</v>
      </c>
      <c r="N93" s="6">
        <v>-1.9170075037883401</v>
      </c>
      <c r="O93" s="6">
        <v>3.5494241215527298</v>
      </c>
      <c r="P93" s="6">
        <v>-4.0554982424597696</v>
      </c>
      <c r="Q93" s="6">
        <v>-3.2951252391186499</v>
      </c>
      <c r="R93" s="6">
        <v>-2.06505551886853</v>
      </c>
      <c r="S93" s="6">
        <v>-0.707131556471853</v>
      </c>
      <c r="T93" s="6">
        <v>-6.56631096079263</v>
      </c>
      <c r="U93" s="6">
        <v>-1.83048971912508</v>
      </c>
      <c r="V93" s="6">
        <v>-4.3466441499058304</v>
      </c>
      <c r="W93" s="6">
        <v>0.13736523023199099</v>
      </c>
      <c r="X93" s="6">
        <v>0.86687257544683805</v>
      </c>
      <c r="Y93" s="6">
        <v>0.80080819264784397</v>
      </c>
      <c r="Z93" s="6">
        <v>0.21133872725283001</v>
      </c>
      <c r="AA93" s="6">
        <v>0.98739736398977296</v>
      </c>
      <c r="AB93" s="6">
        <v>-2.53929259339375E-2</v>
      </c>
      <c r="AC93" s="6">
        <v>3.2399346607124402</v>
      </c>
      <c r="AD93" s="6">
        <v>4.2433132047725701</v>
      </c>
      <c r="AE93" s="6">
        <v>-0.17995377303162899</v>
      </c>
      <c r="AF93" s="6">
        <v>-1.86086395753988</v>
      </c>
      <c r="AG93" s="6">
        <v>2.8100928605465501</v>
      </c>
      <c r="AH93" s="6">
        <v>-1.1229005787877</v>
      </c>
      <c r="AI93" s="6">
        <v>-2.9510515330242</v>
      </c>
      <c r="AJ93" s="6">
        <v>2.1602556142809601</v>
      </c>
      <c r="AK93" s="6">
        <v>0</v>
      </c>
      <c r="AL93" s="6">
        <v>0</v>
      </c>
      <c r="AM93" s="6">
        <v>2.7905816537513801</v>
      </c>
      <c r="AN93" s="6">
        <v>-6.6795645031358202</v>
      </c>
      <c r="AO93" s="6">
        <v>5.2578336715238496</v>
      </c>
      <c r="AP93" s="6">
        <v>-0.22348621491323001</v>
      </c>
      <c r="AQ93" s="6">
        <v>-3.4150406485310998</v>
      </c>
      <c r="AR93" s="6">
        <v>-0.39856656035826199</v>
      </c>
      <c r="AS93" s="6">
        <v>1.15974843323733</v>
      </c>
      <c r="AT93" s="6">
        <v>0</v>
      </c>
      <c r="AU93" s="6">
        <v>1.92682062521639</v>
      </c>
      <c r="AV93" s="6">
        <v>0.753513382934067</v>
      </c>
      <c r="AW93" s="6">
        <v>0</v>
      </c>
      <c r="AX93" s="6">
        <v>-1.4357915454888699</v>
      </c>
      <c r="AY93" s="6">
        <v>-5.0287020937228402</v>
      </c>
      <c r="AZ93" s="6">
        <v>-3.0458610504515899</v>
      </c>
      <c r="BA93" s="6">
        <v>3.5318887674836699</v>
      </c>
      <c r="BB93" s="6">
        <v>1.31576750908623</v>
      </c>
      <c r="BC93" s="6">
        <v>198.993256524945</v>
      </c>
    </row>
    <row r="94" spans="2:55" x14ac:dyDescent="0.25">
      <c r="B94" s="5">
        <v>45</v>
      </c>
      <c r="C94" s="5">
        <v>9</v>
      </c>
      <c r="D94" s="6">
        <v>2.9193504535691099</v>
      </c>
      <c r="E94" s="6">
        <v>0.11066197316012601</v>
      </c>
      <c r="F94" s="6">
        <v>-1.32459241594054</v>
      </c>
      <c r="G94" s="6">
        <v>0.81687305060118598</v>
      </c>
      <c r="H94" s="6">
        <v>-1.20316586941307</v>
      </c>
      <c r="I94" s="6">
        <v>-1.4693915972059199</v>
      </c>
      <c r="J94" s="6">
        <v>2.0163196229903502</v>
      </c>
      <c r="K94" s="6">
        <v>-0.68273605104525603</v>
      </c>
      <c r="L94" s="6">
        <v>-2.1114522056093801</v>
      </c>
      <c r="M94" s="6">
        <v>0.40870772965783198</v>
      </c>
      <c r="N94" s="6">
        <v>0</v>
      </c>
      <c r="O94" s="6">
        <v>1.05771273781196</v>
      </c>
      <c r="P94" s="6">
        <v>-0.45424879784382</v>
      </c>
      <c r="Q94" s="6">
        <v>-1.55465668581939</v>
      </c>
      <c r="R94" s="6">
        <v>-1.80391555050688</v>
      </c>
      <c r="S94" s="6">
        <v>-1.1782807484842199</v>
      </c>
      <c r="T94" s="6">
        <v>-0.330723952955567</v>
      </c>
      <c r="U94" s="6">
        <v>1.25756404988232</v>
      </c>
      <c r="V94" s="6">
        <v>-1.7938288062746599</v>
      </c>
      <c r="W94" s="6">
        <v>1.4157128457158601</v>
      </c>
      <c r="X94" s="6">
        <v>2.5762715821958402</v>
      </c>
      <c r="Y94" s="6">
        <v>0</v>
      </c>
      <c r="Z94" s="6">
        <v>-0.69777657738994203</v>
      </c>
      <c r="AA94" s="6">
        <v>-0.241052166351575</v>
      </c>
      <c r="AB94" s="6">
        <v>0.86195939627945894</v>
      </c>
      <c r="AC94" s="6">
        <v>1.0114486060416601</v>
      </c>
      <c r="AD94" s="6">
        <v>4.3160056404537102</v>
      </c>
      <c r="AE94" s="6">
        <v>1.72908871440221</v>
      </c>
      <c r="AF94" s="6">
        <v>0.20811666865796599</v>
      </c>
      <c r="AG94" s="6">
        <v>0.94517032973230197</v>
      </c>
      <c r="AH94" s="6">
        <v>0.834748095107953</v>
      </c>
      <c r="AI94" s="6">
        <v>0</v>
      </c>
      <c r="AJ94" s="6">
        <v>0.755054958353365</v>
      </c>
      <c r="AK94" s="6">
        <v>3.3823786659492101</v>
      </c>
      <c r="AL94" s="6">
        <v>-2.6658668926799902</v>
      </c>
      <c r="AM94" s="6">
        <v>2.6707709209867598</v>
      </c>
      <c r="AN94" s="6">
        <v>-4.3159544078442202</v>
      </c>
      <c r="AO94" s="6">
        <v>0.71243689718259395</v>
      </c>
      <c r="AP94" s="6">
        <v>-0.34038204742350903</v>
      </c>
      <c r="AQ94" s="6">
        <v>0.43604831791674997</v>
      </c>
      <c r="AR94" s="6">
        <v>-0.40390165185689902</v>
      </c>
      <c r="AS94" s="6">
        <v>0</v>
      </c>
      <c r="AT94" s="6">
        <v>0</v>
      </c>
      <c r="AU94" s="6">
        <v>-3.6158158311323102E-2</v>
      </c>
      <c r="AV94" s="6">
        <v>-1.31841900999519</v>
      </c>
      <c r="AW94" s="6">
        <v>3.8191533010652998</v>
      </c>
      <c r="AX94" s="6">
        <v>0.26192747018657703</v>
      </c>
      <c r="AY94" s="6">
        <v>-2.81369748829096</v>
      </c>
      <c r="AZ94" s="6">
        <v>-2.3759803632514598</v>
      </c>
      <c r="BA94" s="6">
        <v>1.49985893416357</v>
      </c>
      <c r="BB94" s="6">
        <v>1.0952983186013401</v>
      </c>
      <c r="BC94" s="6">
        <v>85.752167620412493</v>
      </c>
    </row>
    <row r="95" spans="2:55" x14ac:dyDescent="0.25">
      <c r="B95" s="5">
        <v>50</v>
      </c>
      <c r="C95" s="5">
        <v>0</v>
      </c>
      <c r="D95" s="6">
        <v>2.8044206345665201</v>
      </c>
      <c r="E95" s="6">
        <v>-1.6157983455885701</v>
      </c>
      <c r="F95" s="6">
        <v>1.0850141117939101</v>
      </c>
      <c r="G95" s="6">
        <v>-0.38613189951948301</v>
      </c>
      <c r="H95" s="6">
        <v>-1.9819045971846201</v>
      </c>
      <c r="I95" s="6">
        <v>0.37365088961287501</v>
      </c>
      <c r="J95" s="6">
        <v>0.57757083625833106</v>
      </c>
      <c r="K95" s="6">
        <v>-0.37864642019908901</v>
      </c>
      <c r="L95" s="6">
        <v>-1.7539833611709901</v>
      </c>
      <c r="M95" s="6">
        <v>-0.36956086546272998</v>
      </c>
      <c r="N95" s="6">
        <v>2.1535723221146399</v>
      </c>
      <c r="O95" s="6">
        <v>0.34577977980768498</v>
      </c>
      <c r="P95" s="6">
        <v>-1.16772409515736</v>
      </c>
      <c r="Q95" s="6">
        <v>6.4763854006684995E-2</v>
      </c>
      <c r="R95" s="6">
        <v>-0.945818915604832</v>
      </c>
      <c r="S95" s="6">
        <v>0.84894449158245699</v>
      </c>
      <c r="T95" s="6">
        <v>-0.56964113964566798</v>
      </c>
      <c r="U95" s="6">
        <v>-0.25041231746648401</v>
      </c>
      <c r="V95" s="6">
        <v>-0.41346772349908101</v>
      </c>
      <c r="W95" s="6">
        <v>1.2439302926728499</v>
      </c>
      <c r="X95" s="6">
        <v>2.2410623919124699</v>
      </c>
      <c r="Y95" s="6">
        <v>1.7389782023466001</v>
      </c>
      <c r="Z95" s="6">
        <v>-0.975857839272677</v>
      </c>
      <c r="AA95" s="6">
        <v>2.63467598018048</v>
      </c>
      <c r="AB95" s="6">
        <v>1.73306899905263</v>
      </c>
      <c r="AC95" s="6">
        <v>2.0791919680887698</v>
      </c>
      <c r="AD95" s="6">
        <v>2.9191689209746499</v>
      </c>
      <c r="AE95" s="6">
        <v>1.2975267652431399</v>
      </c>
      <c r="AF95" s="6">
        <v>0.28033766776941599</v>
      </c>
      <c r="AG95" s="6">
        <v>1.6216038350591999</v>
      </c>
      <c r="AH95" s="6">
        <v>-1.1965189986687299</v>
      </c>
      <c r="AI95" s="6">
        <v>-1.08935732945543</v>
      </c>
      <c r="AJ95" s="6">
        <v>0.69814192323399005</v>
      </c>
      <c r="AK95" s="6">
        <v>2.4039510498187799</v>
      </c>
      <c r="AL95" s="6">
        <v>3.6967119375986998E-2</v>
      </c>
      <c r="AM95" s="6">
        <v>0.57554760913789904</v>
      </c>
      <c r="AN95" s="6">
        <v>-2.9742491869588199</v>
      </c>
      <c r="AO95" s="6">
        <v>0.68944275713697301</v>
      </c>
      <c r="AP95" s="6">
        <v>-2.3208350928613699</v>
      </c>
      <c r="AQ95" s="6">
        <v>-0.19806582148910901</v>
      </c>
      <c r="AR95" s="6">
        <v>2.0312428035011099</v>
      </c>
      <c r="AS95" s="6">
        <v>0.87661226240085399</v>
      </c>
      <c r="AT95" s="6">
        <v>-0.94058247098891401</v>
      </c>
      <c r="AU95" s="6">
        <v>1.7124797533748899</v>
      </c>
      <c r="AV95" s="6">
        <v>1.1866068332461299</v>
      </c>
      <c r="AW95" s="6">
        <v>0.322802864083712</v>
      </c>
      <c r="AX95" s="6">
        <v>0.40277851950548799</v>
      </c>
      <c r="AY95" s="6">
        <v>-3.31386820410899</v>
      </c>
      <c r="AZ95" s="6">
        <v>-1.65470689159261</v>
      </c>
      <c r="BA95" s="6">
        <v>0.36681149776683197</v>
      </c>
      <c r="BB95" s="6">
        <v>0.65960695653646395</v>
      </c>
      <c r="BC95" s="6">
        <v>29.399850089612698</v>
      </c>
    </row>
    <row r="96" spans="2:55" x14ac:dyDescent="0.25">
      <c r="B96" s="5">
        <v>50</v>
      </c>
      <c r="C96" s="5">
        <v>1</v>
      </c>
      <c r="D96" s="6">
        <v>0.70046570217251203</v>
      </c>
      <c r="E96" s="6">
        <v>-1.38178314152293</v>
      </c>
      <c r="F96" s="6">
        <v>-0.14784720131567</v>
      </c>
      <c r="G96" s="6">
        <v>4.4432048523333302E-2</v>
      </c>
      <c r="H96" s="6">
        <v>-1.2350336362521199</v>
      </c>
      <c r="I96" s="6">
        <v>-0.498816519391027</v>
      </c>
      <c r="J96" s="6">
        <v>1.20813573769468</v>
      </c>
      <c r="K96" s="6">
        <v>-0.50988427329332298</v>
      </c>
      <c r="L96" s="6">
        <v>-3.7001194712945802</v>
      </c>
      <c r="M96" s="6">
        <v>6.9684255297047998E-2</v>
      </c>
      <c r="N96" s="6">
        <v>0.164783816959825</v>
      </c>
      <c r="O96" s="6">
        <v>0.226769521403937</v>
      </c>
      <c r="P96" s="6">
        <v>0.58016774750396305</v>
      </c>
      <c r="Q96" s="6">
        <v>0.38957629624840701</v>
      </c>
      <c r="R96" s="6">
        <v>-1.04270749680006</v>
      </c>
      <c r="S96" s="6">
        <v>0.68389446662597198</v>
      </c>
      <c r="T96" s="6">
        <v>-2.1696232862606801</v>
      </c>
      <c r="U96" s="6">
        <v>-1.62131854836759</v>
      </c>
      <c r="V96" s="6">
        <v>-2.3611611287086798</v>
      </c>
      <c r="W96" s="6">
        <v>0.17724592949564</v>
      </c>
      <c r="X96" s="6">
        <v>-0.82288225939798498</v>
      </c>
      <c r="Y96" s="6">
        <v>0.31171986059345602</v>
      </c>
      <c r="Z96" s="6">
        <v>-1.8249327157217801</v>
      </c>
      <c r="AA96" s="6">
        <v>0.48277870979710202</v>
      </c>
      <c r="AB96" s="6">
        <v>0.40780337581402598</v>
      </c>
      <c r="AC96" s="6">
        <v>-0.63955803215932805</v>
      </c>
      <c r="AD96" s="6">
        <v>1.1389012364008899</v>
      </c>
      <c r="AE96" s="6">
        <v>0.62126745145319195</v>
      </c>
      <c r="AF96" s="6">
        <v>-0.86091226404302201</v>
      </c>
      <c r="AG96" s="6">
        <v>2.2878981196383701</v>
      </c>
      <c r="AH96" s="6">
        <v>-1.5429597727200199</v>
      </c>
      <c r="AI96" s="6">
        <v>-0.75836882206151301</v>
      </c>
      <c r="AJ96" s="6">
        <v>0.38439625973612102</v>
      </c>
      <c r="AK96" s="6">
        <v>1.5344771749496799</v>
      </c>
      <c r="AL96" s="6">
        <v>-1.76445290955322</v>
      </c>
      <c r="AM96" s="6">
        <v>0.73763521418713596</v>
      </c>
      <c r="AN96" s="6">
        <v>-1.1813776903698801</v>
      </c>
      <c r="AO96" s="6">
        <v>0.39358121953236402</v>
      </c>
      <c r="AP96" s="6">
        <v>-1.38855237741913</v>
      </c>
      <c r="AQ96" s="6">
        <v>0.37558886264088098</v>
      </c>
      <c r="AR96" s="6">
        <v>1.1453351482818499</v>
      </c>
      <c r="AS96" s="6">
        <v>1.4502179688419099</v>
      </c>
      <c r="AT96" s="6">
        <v>-1.5480384059083701</v>
      </c>
      <c r="AU96" s="6">
        <v>3.0022614821425</v>
      </c>
      <c r="AV96" s="6">
        <v>1.19193352882659</v>
      </c>
      <c r="AW96" s="6">
        <v>-1.09405271363333</v>
      </c>
      <c r="AX96" s="6">
        <v>1.49731143316242</v>
      </c>
      <c r="AY96" s="6">
        <v>-2.3828377920026398</v>
      </c>
      <c r="AZ96" s="6">
        <v>-0.55173168973831799</v>
      </c>
      <c r="BA96" s="6">
        <v>-0.34609152526129999</v>
      </c>
      <c r="BB96" s="6">
        <v>0.81783188977837495</v>
      </c>
      <c r="BC96" s="6">
        <v>86.020444966265799</v>
      </c>
    </row>
    <row r="97" spans="2:55" x14ac:dyDescent="0.25">
      <c r="B97" s="5">
        <v>50</v>
      </c>
      <c r="C97" s="5">
        <v>2</v>
      </c>
      <c r="D97" s="6">
        <v>1.79443860776426</v>
      </c>
      <c r="E97" s="6">
        <v>-0.34225050387512101</v>
      </c>
      <c r="F97" s="6">
        <v>-0.32563474357864602</v>
      </c>
      <c r="G97" s="6">
        <v>0.50672387255711704</v>
      </c>
      <c r="H97" s="6">
        <v>-0.94177630464905304</v>
      </c>
      <c r="I97" s="6">
        <v>0.62566362440656997</v>
      </c>
      <c r="J97" s="6">
        <v>1.1283355892982501</v>
      </c>
      <c r="K97" s="6">
        <v>0.4550568446828</v>
      </c>
      <c r="L97" s="6">
        <v>-0.86349678763613702</v>
      </c>
      <c r="M97" s="6">
        <v>-0.47980209640718302</v>
      </c>
      <c r="N97" s="6">
        <v>1.31019144931946</v>
      </c>
      <c r="O97" s="6">
        <v>0.12902853680265</v>
      </c>
      <c r="P97" s="6">
        <v>-1.0531447085338299</v>
      </c>
      <c r="Q97" s="6">
        <v>0.878443135044918</v>
      </c>
      <c r="R97" s="6">
        <v>-9.5960836116262202E-3</v>
      </c>
      <c r="S97" s="6">
        <v>-0.15471473972320299</v>
      </c>
      <c r="T97" s="6">
        <v>0.57874900518002903</v>
      </c>
      <c r="U97" s="6">
        <v>0.69582965290271603</v>
      </c>
      <c r="V97" s="6">
        <v>-0.94681220770601704</v>
      </c>
      <c r="W97" s="6">
        <v>2.41581473001512</v>
      </c>
      <c r="X97" s="6">
        <v>1.8770516723983</v>
      </c>
      <c r="Y97" s="6">
        <v>1.2291043103256301</v>
      </c>
      <c r="Z97" s="6">
        <v>-1.6011983368834899</v>
      </c>
      <c r="AA97" s="6">
        <v>2.37567332003916</v>
      </c>
      <c r="AB97" s="6">
        <v>1.6134439827732401</v>
      </c>
      <c r="AC97" s="6">
        <v>-0.64000968595020402</v>
      </c>
      <c r="AD97" s="6">
        <v>4.0391005543845804</v>
      </c>
      <c r="AE97" s="6">
        <v>1.92532478119724</v>
      </c>
      <c r="AF97" s="6">
        <v>0.72227495387110696</v>
      </c>
      <c r="AG97" s="6">
        <v>0.92742234111058497</v>
      </c>
      <c r="AH97" s="6">
        <v>-0.168944996871431</v>
      </c>
      <c r="AI97" s="6">
        <v>-0.37352163472661398</v>
      </c>
      <c r="AJ97" s="6">
        <v>0.13448020624207399</v>
      </c>
      <c r="AK97" s="6">
        <v>2.4016975010468502</v>
      </c>
      <c r="AL97" s="6">
        <v>-0.30003976593368897</v>
      </c>
      <c r="AM97" s="6">
        <v>1.0838189142035</v>
      </c>
      <c r="AN97" s="6">
        <v>-1.20076659212908</v>
      </c>
      <c r="AO97" s="6">
        <v>-1.1355719974373299</v>
      </c>
      <c r="AP97" s="6">
        <v>-1.0808026793276</v>
      </c>
      <c r="AQ97" s="6">
        <v>0.22290552145221901</v>
      </c>
      <c r="AR97" s="6">
        <v>1.52659806589117</v>
      </c>
      <c r="AS97" s="6">
        <v>-0.193643407901817</v>
      </c>
      <c r="AT97" s="6">
        <v>0.31646395301841301</v>
      </c>
      <c r="AU97" s="6">
        <v>5.6457496980016203E-2</v>
      </c>
      <c r="AV97" s="6">
        <v>-0.89021697734641203</v>
      </c>
      <c r="AW97" s="6">
        <v>1.5108681428919699</v>
      </c>
      <c r="AX97" s="6">
        <v>0.38205818913129902</v>
      </c>
      <c r="AY97" s="6">
        <v>-3.85024303986639</v>
      </c>
      <c r="AZ97" s="6">
        <v>-2.2196252904699598</v>
      </c>
      <c r="BA97" s="6">
        <v>5.4102026212021301E-2</v>
      </c>
      <c r="BB97" s="6">
        <v>1.05447615917418</v>
      </c>
      <c r="BC97" s="6">
        <v>40.539179466708802</v>
      </c>
    </row>
    <row r="98" spans="2:55" x14ac:dyDescent="0.25">
      <c r="B98" s="5">
        <v>50</v>
      </c>
      <c r="C98" s="5">
        <v>3</v>
      </c>
      <c r="D98" s="6">
        <v>1.1827639835308501</v>
      </c>
      <c r="E98" s="6">
        <v>-1.6930905830954801</v>
      </c>
      <c r="F98" s="6">
        <v>1.0844726130651401</v>
      </c>
      <c r="G98" s="6">
        <v>0.43289886518951398</v>
      </c>
      <c r="H98" s="6">
        <v>-1.0161004534271001</v>
      </c>
      <c r="I98" s="6">
        <v>1.6613357622684599</v>
      </c>
      <c r="J98" s="6">
        <v>0.18848632935603801</v>
      </c>
      <c r="K98" s="6">
        <v>0.13860497084307599</v>
      </c>
      <c r="L98" s="6">
        <v>-1.3491681586548001</v>
      </c>
      <c r="M98" s="6">
        <v>0.45811237853745002</v>
      </c>
      <c r="N98" s="6">
        <v>1.66985549088393</v>
      </c>
      <c r="O98" s="6">
        <v>-0.38295309361249902</v>
      </c>
      <c r="P98" s="6">
        <v>-0.64350945301362095</v>
      </c>
      <c r="Q98" s="6">
        <v>0.46414062274948198</v>
      </c>
      <c r="R98" s="6">
        <v>-1.2854894769932701</v>
      </c>
      <c r="S98" s="6">
        <v>1.05455935510511</v>
      </c>
      <c r="T98" s="6">
        <v>-1.44119550374689</v>
      </c>
      <c r="U98" s="6">
        <v>-0.110746949748303</v>
      </c>
      <c r="V98" s="6">
        <v>-0.689436371896476</v>
      </c>
      <c r="W98" s="6">
        <v>1.3695436478102601</v>
      </c>
      <c r="X98" s="6">
        <v>1.5021900207668699</v>
      </c>
      <c r="Y98" s="6">
        <v>2.1095467181002401</v>
      </c>
      <c r="Z98" s="6">
        <v>0.191818581033075</v>
      </c>
      <c r="AA98" s="6">
        <v>2.8676308155538002</v>
      </c>
      <c r="AB98" s="6">
        <v>2.2036617901317999</v>
      </c>
      <c r="AC98" s="6">
        <v>1.42480880388103</v>
      </c>
      <c r="AD98" s="6">
        <v>2.7985453328996202</v>
      </c>
      <c r="AE98" s="6">
        <v>0.18694994274753099</v>
      </c>
      <c r="AF98" s="6">
        <v>-2.6239453408535899E-2</v>
      </c>
      <c r="AG98" s="6">
        <v>1.1234461332810901</v>
      </c>
      <c r="AH98" s="6">
        <v>-2.1672132741943502</v>
      </c>
      <c r="AI98" s="6">
        <v>-0.779060679323066</v>
      </c>
      <c r="AJ98" s="6">
        <v>-0.35314592159143299</v>
      </c>
      <c r="AK98" s="6">
        <v>3.0243649518134799</v>
      </c>
      <c r="AL98" s="6">
        <v>0.40259529237422897</v>
      </c>
      <c r="AM98" s="6">
        <v>1.08748736609001</v>
      </c>
      <c r="AN98" s="6">
        <v>-2.3857257246000501</v>
      </c>
      <c r="AO98" s="6">
        <v>6.9383088588992295E-2</v>
      </c>
      <c r="AP98" s="6">
        <v>-1.92900641405621</v>
      </c>
      <c r="AQ98" s="6">
        <v>-0.95633831576782302</v>
      </c>
      <c r="AR98" s="6">
        <v>1.5329189466576501</v>
      </c>
      <c r="AS98" s="6">
        <v>3.0192891303868299</v>
      </c>
      <c r="AT98" s="6">
        <v>-3.2510622464088699</v>
      </c>
      <c r="AU98" s="6">
        <v>1.44966312929028</v>
      </c>
      <c r="AV98" s="6">
        <v>-3.5802388800945502E-2</v>
      </c>
      <c r="AW98" s="6">
        <v>-1.2461034063615399</v>
      </c>
      <c r="AX98" s="6">
        <v>0.220869238525466</v>
      </c>
      <c r="AY98" s="6">
        <v>-3.3808571705247399</v>
      </c>
      <c r="AZ98" s="6">
        <v>-1.7708620854100801</v>
      </c>
      <c r="BA98" s="6">
        <v>0.25184048374853701</v>
      </c>
      <c r="BB98" s="6">
        <v>0.886173405611828</v>
      </c>
      <c r="BC98" s="6">
        <v>32.4225371239217</v>
      </c>
    </row>
    <row r="99" spans="2:55" x14ac:dyDescent="0.25">
      <c r="B99" s="5">
        <v>50</v>
      </c>
      <c r="C99" s="5">
        <v>4</v>
      </c>
      <c r="D99" s="6">
        <v>1.3530477997514201</v>
      </c>
      <c r="E99" s="6">
        <v>-2.0621333270535098</v>
      </c>
      <c r="F99" s="6">
        <v>0.100931319496496</v>
      </c>
      <c r="G99" s="6">
        <v>2.3836388251971599</v>
      </c>
      <c r="H99" s="6">
        <v>-1.8626029412676099</v>
      </c>
      <c r="I99" s="6">
        <v>2.6105672265291102</v>
      </c>
      <c r="J99" s="6">
        <v>-0.78906918040449603</v>
      </c>
      <c r="K99" s="6">
        <v>-0.42629670264001601</v>
      </c>
      <c r="L99" s="6">
        <v>-1.0872201019588399</v>
      </c>
      <c r="M99" s="6">
        <v>-1.6334430468646901</v>
      </c>
      <c r="N99" s="6">
        <v>0.44244167491112302</v>
      </c>
      <c r="O99" s="6">
        <v>0.17857338149246901</v>
      </c>
      <c r="P99" s="6">
        <v>-2.8295492411991798</v>
      </c>
      <c r="Q99" s="6">
        <v>0.33260522140943699</v>
      </c>
      <c r="R99" s="6">
        <v>-2.75187909478782</v>
      </c>
      <c r="S99" s="6">
        <v>1.3740065044833301</v>
      </c>
      <c r="T99" s="6">
        <v>-1.1981359203414099</v>
      </c>
      <c r="U99" s="6">
        <v>-1.33617100094988</v>
      </c>
      <c r="V99" s="6">
        <v>1.8220429573371599</v>
      </c>
      <c r="W99" s="6">
        <v>0.93686706518417395</v>
      </c>
      <c r="X99" s="6">
        <v>3.3996947316723101</v>
      </c>
      <c r="Y99" s="6">
        <v>2.8128031737899399</v>
      </c>
      <c r="Z99" s="6">
        <v>-1.1316073255477099</v>
      </c>
      <c r="AA99" s="6">
        <v>2.96698049830544</v>
      </c>
      <c r="AB99" s="6">
        <v>0.489406538068479</v>
      </c>
      <c r="AC99" s="6">
        <v>0.47065745773173201</v>
      </c>
      <c r="AD99" s="6">
        <v>1.3086305172600401</v>
      </c>
      <c r="AE99" s="6">
        <v>0.13072994896307899</v>
      </c>
      <c r="AF99" s="6">
        <v>0.86904664666522502</v>
      </c>
      <c r="AG99" s="6">
        <v>1.8265657907800801</v>
      </c>
      <c r="AH99" s="6">
        <v>-2.2171595082596598</v>
      </c>
      <c r="AI99" s="6">
        <v>-6.1900649531608502E-2</v>
      </c>
      <c r="AJ99" s="6">
        <v>-0.13326231865590801</v>
      </c>
      <c r="AK99" s="6">
        <v>2.4578163649562299</v>
      </c>
      <c r="AL99" s="6">
        <v>-0.18986325442779101</v>
      </c>
      <c r="AM99" s="6">
        <v>-0.76097714214701195</v>
      </c>
      <c r="AN99" s="6">
        <v>-1.01742098098213</v>
      </c>
      <c r="AO99" s="6">
        <v>2.0096991889033598E-2</v>
      </c>
      <c r="AP99" s="6">
        <v>-1.62312028225682</v>
      </c>
      <c r="AQ99" s="6">
        <v>-2.2425429412351399</v>
      </c>
      <c r="AR99" s="6">
        <v>0.83627034144885204</v>
      </c>
      <c r="AS99" s="6">
        <v>0.31350949568206898</v>
      </c>
      <c r="AT99" s="6">
        <v>0.78149347209483699</v>
      </c>
      <c r="AU99" s="6">
        <v>1.2439681206240101</v>
      </c>
      <c r="AV99" s="6">
        <v>2.4827392998539</v>
      </c>
      <c r="AW99" s="6">
        <v>-0.74999353530087298</v>
      </c>
      <c r="AX99" s="6">
        <v>0.62181810601754195</v>
      </c>
      <c r="AY99" s="6">
        <v>-2.1031385980900899</v>
      </c>
      <c r="AZ99" s="6">
        <v>-2.1866959560030699</v>
      </c>
      <c r="BA99" s="6">
        <v>1.61754834932887</v>
      </c>
      <c r="BB99" s="6">
        <v>5.8506261797219801E-2</v>
      </c>
      <c r="BC99" s="6">
        <v>146.15824024551901</v>
      </c>
    </row>
    <row r="100" spans="2:55" x14ac:dyDescent="0.25">
      <c r="B100" s="5">
        <v>50</v>
      </c>
      <c r="C100" s="5">
        <v>5</v>
      </c>
      <c r="D100" s="6">
        <v>0.96701183241039901</v>
      </c>
      <c r="E100" s="6">
        <v>-2.16972334341816</v>
      </c>
      <c r="F100" s="6">
        <v>0.73307314887047403</v>
      </c>
      <c r="G100" s="6">
        <v>-0.55178078112710605</v>
      </c>
      <c r="H100" s="6">
        <v>-0.54372045353451803</v>
      </c>
      <c r="I100" s="6">
        <v>2.3196427212880601E-2</v>
      </c>
      <c r="J100" s="6">
        <v>0.92215528719073303</v>
      </c>
      <c r="K100" s="6">
        <v>-0.38292974431530502</v>
      </c>
      <c r="L100" s="6">
        <v>-2.88702810548889</v>
      </c>
      <c r="M100" s="6">
        <v>0.66602208380044203</v>
      </c>
      <c r="N100" s="6">
        <v>0.70740901078843799</v>
      </c>
      <c r="O100" s="6">
        <v>0.11972926641161</v>
      </c>
      <c r="P100" s="6">
        <v>-0.183944761766866</v>
      </c>
      <c r="Q100" s="6">
        <v>4.0781221717779197E-2</v>
      </c>
      <c r="R100" s="6">
        <v>-1.9023549921095</v>
      </c>
      <c r="S100" s="6">
        <v>0.233780717795468</v>
      </c>
      <c r="T100" s="6">
        <v>-1.3129732077338701</v>
      </c>
      <c r="U100" s="6">
        <v>-0.40907620687197199</v>
      </c>
      <c r="V100" s="6">
        <v>-0.93847855766863097</v>
      </c>
      <c r="W100" s="6">
        <v>0.75484237342030203</v>
      </c>
      <c r="X100" s="6">
        <v>0.69881128675983395</v>
      </c>
      <c r="Y100" s="6">
        <v>1.0636466256044701</v>
      </c>
      <c r="Z100" s="6">
        <v>-0.18056634772767599</v>
      </c>
      <c r="AA100" s="6">
        <v>1.4710200579177199</v>
      </c>
      <c r="AB100" s="6">
        <v>0.22284606809702701</v>
      </c>
      <c r="AC100" s="6">
        <v>1.12033405637413</v>
      </c>
      <c r="AD100" s="6">
        <v>0.216609692361416</v>
      </c>
      <c r="AE100" s="6">
        <v>0.77832647975404201</v>
      </c>
      <c r="AF100" s="6">
        <v>-0.35716009143153798</v>
      </c>
      <c r="AG100" s="6">
        <v>1.32555271747438</v>
      </c>
      <c r="AH100" s="6">
        <v>-1.9416640373775</v>
      </c>
      <c r="AI100" s="6">
        <v>0.43764764700824799</v>
      </c>
      <c r="AJ100" s="6">
        <v>0.16430548038708501</v>
      </c>
      <c r="AK100" s="6">
        <v>2.2699497099747501</v>
      </c>
      <c r="AL100" s="6">
        <v>-0.38327518974402602</v>
      </c>
      <c r="AM100" s="6">
        <v>-0.153637544840805</v>
      </c>
      <c r="AN100" s="6">
        <v>-2.3058425127404401</v>
      </c>
      <c r="AO100" s="6">
        <v>0.57948742072944903</v>
      </c>
      <c r="AP100" s="6">
        <v>-3.1990715032033901</v>
      </c>
      <c r="AQ100" s="6">
        <v>0.52653394090806604</v>
      </c>
      <c r="AR100" s="6">
        <v>0.15688454955535699</v>
      </c>
      <c r="AS100" s="6">
        <v>1.2660357248087299</v>
      </c>
      <c r="AT100" s="6">
        <v>-2.39370239452523</v>
      </c>
      <c r="AU100" s="6">
        <v>1.9827900665536</v>
      </c>
      <c r="AV100" s="6">
        <v>0.32296893156522799</v>
      </c>
      <c r="AW100" s="6">
        <v>-1.03476427532102</v>
      </c>
      <c r="AX100" s="6">
        <v>0.89034411810030101</v>
      </c>
      <c r="AY100" s="6">
        <v>-1.9439733408042701</v>
      </c>
      <c r="AZ100" s="6">
        <v>-0.576117034679967</v>
      </c>
      <c r="BA100" s="6">
        <v>0.33821153563371797</v>
      </c>
      <c r="BB100" s="6">
        <v>-0.112493922162684</v>
      </c>
      <c r="BC100" s="6">
        <v>70.753532182405195</v>
      </c>
    </row>
    <row r="101" spans="2:55" x14ac:dyDescent="0.25">
      <c r="B101" s="5">
        <v>50</v>
      </c>
      <c r="C101" s="5">
        <v>6</v>
      </c>
      <c r="D101" s="6">
        <v>1.4506479697352801</v>
      </c>
      <c r="E101" s="6">
        <v>-3.4672730753938898</v>
      </c>
      <c r="F101" s="6">
        <v>-0.28157529581257201</v>
      </c>
      <c r="G101" s="6">
        <v>-0.32844653189907502</v>
      </c>
      <c r="H101" s="6">
        <v>-0.84747356603753499</v>
      </c>
      <c r="I101" s="6">
        <v>1.2575624318312599</v>
      </c>
      <c r="J101" s="6">
        <v>-0.82490917460323399</v>
      </c>
      <c r="K101" s="6">
        <v>1.2177110228008099</v>
      </c>
      <c r="L101" s="6">
        <v>-1.8134574867584301</v>
      </c>
      <c r="M101" s="6">
        <v>-0.89383198799740105</v>
      </c>
      <c r="N101" s="6">
        <v>1.0342068842765499</v>
      </c>
      <c r="O101" s="6">
        <v>0.86014176976632895</v>
      </c>
      <c r="P101" s="6">
        <v>-2.0211909223943101</v>
      </c>
      <c r="Q101" s="6">
        <v>0.63533230466134605</v>
      </c>
      <c r="R101" s="6">
        <v>-3.2847475296748398</v>
      </c>
      <c r="S101" s="6">
        <v>1.6228605563473899</v>
      </c>
      <c r="T101" s="6">
        <v>-0.81237356904915703</v>
      </c>
      <c r="U101" s="6">
        <v>-1.40458367559453</v>
      </c>
      <c r="V101" s="6">
        <v>-0.469777822351233</v>
      </c>
      <c r="W101" s="6">
        <v>-1.28676151912684</v>
      </c>
      <c r="X101" s="6">
        <v>0.53421960697894999</v>
      </c>
      <c r="Y101" s="6">
        <v>1.3772187767738799</v>
      </c>
      <c r="Z101" s="6">
        <v>-1.4541100635512201</v>
      </c>
      <c r="AA101" s="6">
        <v>2.5361864753391301</v>
      </c>
      <c r="AB101" s="6">
        <v>0.34116414428755998</v>
      </c>
      <c r="AC101" s="6">
        <v>1.2541210476629401</v>
      </c>
      <c r="AD101" s="6">
        <v>3.3138318823815598</v>
      </c>
      <c r="AE101" s="6">
        <v>1.4313897995264899</v>
      </c>
      <c r="AF101" s="6">
        <v>-0.260393442479042</v>
      </c>
      <c r="AG101" s="6">
        <v>0.86897035757679897</v>
      </c>
      <c r="AH101" s="6">
        <v>-0.66856796779221295</v>
      </c>
      <c r="AI101" s="6">
        <v>-0.59871910937187001</v>
      </c>
      <c r="AJ101" s="6">
        <v>0.55198788231211804</v>
      </c>
      <c r="AK101" s="6">
        <v>1.69080859309561</v>
      </c>
      <c r="AL101" s="6">
        <v>-0.36526258558508501</v>
      </c>
      <c r="AM101" s="6">
        <v>0.837840684962742</v>
      </c>
      <c r="AN101" s="6">
        <v>-2.9194235302468101</v>
      </c>
      <c r="AO101" s="6">
        <v>2.1749620967164498</v>
      </c>
      <c r="AP101" s="6">
        <v>0.92659395151481705</v>
      </c>
      <c r="AQ101" s="6">
        <v>-0.25712093424370103</v>
      </c>
      <c r="AR101" s="6">
        <v>2.4305541109662498</v>
      </c>
      <c r="AS101" s="6">
        <v>1.58032879941633</v>
      </c>
      <c r="AT101" s="6">
        <v>-2.2034287166256301</v>
      </c>
      <c r="AU101" s="6">
        <v>1.9986089699787799</v>
      </c>
      <c r="AV101" s="6">
        <v>0.29937178453512497</v>
      </c>
      <c r="AW101" s="6">
        <v>-1.8580523644253399</v>
      </c>
      <c r="AX101" s="6">
        <v>-0.34299466698936898</v>
      </c>
      <c r="AY101" s="6">
        <v>-3.0021537538651799</v>
      </c>
      <c r="AZ101" s="6">
        <v>-1.5697276757368901</v>
      </c>
      <c r="BA101" s="6">
        <v>-0.90568984617688297</v>
      </c>
      <c r="BB101" s="6">
        <v>0.60015014515086296</v>
      </c>
      <c r="BC101" s="6">
        <v>86.344036104532904</v>
      </c>
    </row>
    <row r="102" spans="2:55" x14ac:dyDescent="0.25">
      <c r="B102" s="5">
        <v>50</v>
      </c>
      <c r="C102" s="5">
        <v>7</v>
      </c>
      <c r="D102" s="6">
        <v>1.8162765394942699</v>
      </c>
      <c r="E102" s="6">
        <v>-0.44715581720963299</v>
      </c>
      <c r="F102" s="6">
        <v>-3.1330353708881299E-2</v>
      </c>
      <c r="G102" s="6">
        <v>-0.39775329748223898</v>
      </c>
      <c r="H102" s="6">
        <v>-0.45633307561877201</v>
      </c>
      <c r="I102" s="6">
        <v>0.89136080852323096</v>
      </c>
      <c r="J102" s="6">
        <v>0.48704848365808501</v>
      </c>
      <c r="K102" s="6">
        <v>0.82647884803702698</v>
      </c>
      <c r="L102" s="6">
        <v>-1.5887496791911599</v>
      </c>
      <c r="M102" s="6">
        <v>-0.133618753213326</v>
      </c>
      <c r="N102" s="6">
        <v>1.12087075979843</v>
      </c>
      <c r="O102" s="6">
        <v>-0.28389166973973001</v>
      </c>
      <c r="P102" s="6">
        <v>-0.72544590287580402</v>
      </c>
      <c r="Q102" s="6">
        <v>0.19970158387856399</v>
      </c>
      <c r="R102" s="6">
        <v>-0.65819964404081999</v>
      </c>
      <c r="S102" s="6">
        <v>0.44723856194370598</v>
      </c>
      <c r="T102" s="6">
        <v>-0.333281480116141</v>
      </c>
      <c r="U102" s="6">
        <v>0.129042248391598</v>
      </c>
      <c r="V102" s="6">
        <v>-1.2914659718708399</v>
      </c>
      <c r="W102" s="6">
        <v>0.60589883049068705</v>
      </c>
      <c r="X102" s="6">
        <v>0.60842444230483705</v>
      </c>
      <c r="Y102" s="6">
        <v>1.1056395057011199</v>
      </c>
      <c r="Z102" s="6">
        <v>-1.0241455103007899</v>
      </c>
      <c r="AA102" s="6">
        <v>2.5712669977375899</v>
      </c>
      <c r="AB102" s="6">
        <v>1.4028024373977499</v>
      </c>
      <c r="AC102" s="6">
        <v>0.36831099457774003</v>
      </c>
      <c r="AD102" s="6">
        <v>3.5028191202077799</v>
      </c>
      <c r="AE102" s="6">
        <v>1.8752324127366</v>
      </c>
      <c r="AF102" s="6">
        <v>-0.119775377595772</v>
      </c>
      <c r="AG102" s="6">
        <v>1.1244217874270801</v>
      </c>
      <c r="AH102" s="6">
        <v>-0.85226471874605603</v>
      </c>
      <c r="AI102" s="6">
        <v>-1.1391612044953801</v>
      </c>
      <c r="AJ102" s="6">
        <v>0.44127551477312399</v>
      </c>
      <c r="AK102" s="6">
        <v>2.4756768127803599</v>
      </c>
      <c r="AL102" s="6">
        <v>-0.57106197594659103</v>
      </c>
      <c r="AM102" s="6">
        <v>1.8084560357956501</v>
      </c>
      <c r="AN102" s="6">
        <v>-1.8997028415128601</v>
      </c>
      <c r="AO102" s="6">
        <v>0.45990053883274101</v>
      </c>
      <c r="AP102" s="6">
        <v>-0.71715959834440901</v>
      </c>
      <c r="AQ102" s="6">
        <v>0.40443037777347901</v>
      </c>
      <c r="AR102" s="6">
        <v>1.82942960770178</v>
      </c>
      <c r="AS102" s="6">
        <v>1.37772812899925</v>
      </c>
      <c r="AT102" s="6">
        <v>-1.1901957497330899</v>
      </c>
      <c r="AU102" s="6">
        <v>1.65225704488808</v>
      </c>
      <c r="AV102" s="6">
        <v>-0.172980939347183</v>
      </c>
      <c r="AW102" s="6">
        <v>0.29946541612862598</v>
      </c>
      <c r="AX102" s="6">
        <v>0.51905540509424897</v>
      </c>
      <c r="AY102" s="6">
        <v>-3.0194579160597601</v>
      </c>
      <c r="AZ102" s="6">
        <v>-1.3620564008243801</v>
      </c>
      <c r="BA102" s="6">
        <v>-0.34661546113451802</v>
      </c>
      <c r="BB102" s="6">
        <v>0.94696372693955699</v>
      </c>
      <c r="BC102" s="6">
        <v>19.7027621877304</v>
      </c>
    </row>
    <row r="103" spans="2:55" x14ac:dyDescent="0.25">
      <c r="B103" s="5">
        <v>50</v>
      </c>
      <c r="C103" s="5">
        <v>8</v>
      </c>
      <c r="D103" s="6">
        <v>-0.10252530856665</v>
      </c>
      <c r="E103" s="6">
        <v>-0.47856853964158502</v>
      </c>
      <c r="F103" s="6">
        <v>-0.96961462717533198</v>
      </c>
      <c r="G103" s="6">
        <v>2.8321639264674001</v>
      </c>
      <c r="H103" s="6">
        <v>-1.7081529244150599</v>
      </c>
      <c r="I103" s="6">
        <v>0.97299507979425903</v>
      </c>
      <c r="J103" s="6">
        <v>-1.29890232087988</v>
      </c>
      <c r="K103" s="6">
        <v>-1.11862419571951</v>
      </c>
      <c r="L103" s="6">
        <v>-0.41535218313811101</v>
      </c>
      <c r="M103" s="6">
        <v>-1.7746871836597</v>
      </c>
      <c r="N103" s="6">
        <v>-2.2375034004391798</v>
      </c>
      <c r="O103" s="6">
        <v>0.42272049409808599</v>
      </c>
      <c r="P103" s="6">
        <v>-1.6418462784060699</v>
      </c>
      <c r="Q103" s="6">
        <v>-0.22427170336028701</v>
      </c>
      <c r="R103" s="6">
        <v>-1.98385848817315</v>
      </c>
      <c r="S103" s="6">
        <v>-0.22730795083427299</v>
      </c>
      <c r="T103" s="6">
        <v>-2.3454752333387301</v>
      </c>
      <c r="U103" s="6">
        <v>4.1125942598426897E-2</v>
      </c>
      <c r="V103" s="6">
        <v>-0.67488807162989395</v>
      </c>
      <c r="W103" s="6">
        <v>3.3651116101788401</v>
      </c>
      <c r="X103" s="6">
        <v>4.0811570560916897</v>
      </c>
      <c r="Y103" s="6">
        <v>2.0927867486728502</v>
      </c>
      <c r="Z103" s="6">
        <v>-1.746527648986</v>
      </c>
      <c r="AA103" s="6">
        <v>0.60570070232961304</v>
      </c>
      <c r="AB103" s="6">
        <v>0.54440442894744401</v>
      </c>
      <c r="AC103" s="6">
        <v>0.79451822158297603</v>
      </c>
      <c r="AD103" s="6">
        <v>3.4277456831251101</v>
      </c>
      <c r="AE103" s="6">
        <v>-0.58473758921506602</v>
      </c>
      <c r="AF103" s="6">
        <v>0.95730676979472595</v>
      </c>
      <c r="AG103" s="6">
        <v>0.53739256704470495</v>
      </c>
      <c r="AH103" s="6">
        <v>-1.1413210185148399</v>
      </c>
      <c r="AI103" s="6">
        <v>-0.44242740791086899</v>
      </c>
      <c r="AJ103" s="6">
        <v>-0.51811852809473102</v>
      </c>
      <c r="AK103" s="6">
        <v>3.03608919878176</v>
      </c>
      <c r="AL103" s="6">
        <v>-1.30331926251254</v>
      </c>
      <c r="AM103" s="6">
        <v>1.0446617853907401</v>
      </c>
      <c r="AN103" s="6">
        <v>-0.75396603570113996</v>
      </c>
      <c r="AO103" s="6">
        <v>-0.19258290033110301</v>
      </c>
      <c r="AP103" s="6">
        <v>-0.145234607436137</v>
      </c>
      <c r="AQ103" s="6">
        <v>-1.95322178252078</v>
      </c>
      <c r="AR103" s="6">
        <v>-0.29960988011717399</v>
      </c>
      <c r="AS103" s="6">
        <v>-2.3313479518666602</v>
      </c>
      <c r="AT103" s="6">
        <v>2.7116813992188402</v>
      </c>
      <c r="AU103" s="6">
        <v>-0.50508129821574199</v>
      </c>
      <c r="AV103" s="6">
        <v>0.98588558134211701</v>
      </c>
      <c r="AW103" s="6">
        <v>3.49788729719321</v>
      </c>
      <c r="AX103" s="6">
        <v>0.62784952328811905</v>
      </c>
      <c r="AY103" s="6">
        <v>-2.4965952383410799</v>
      </c>
      <c r="AZ103" s="6">
        <v>-2.0530219951103899</v>
      </c>
      <c r="BA103" s="6">
        <v>2.1411643410938801</v>
      </c>
      <c r="BB103" s="6">
        <v>1.5649880359534301</v>
      </c>
      <c r="BC103" s="6">
        <v>78.263138595648599</v>
      </c>
    </row>
    <row r="104" spans="2:55" x14ac:dyDescent="0.25">
      <c r="B104" s="5">
        <v>50</v>
      </c>
      <c r="C104" s="5">
        <v>9</v>
      </c>
      <c r="D104" s="6">
        <v>2.4327196215489102</v>
      </c>
      <c r="E104" s="6">
        <v>-0.47066997288401002</v>
      </c>
      <c r="F104" s="6">
        <v>-0.117729346835403</v>
      </c>
      <c r="G104" s="6">
        <v>0.30736734921040898</v>
      </c>
      <c r="H104" s="6">
        <v>-1.00372968591254</v>
      </c>
      <c r="I104" s="6">
        <v>0.55220498029193199</v>
      </c>
      <c r="J104" s="6">
        <v>0.77942223465100802</v>
      </c>
      <c r="K104" s="6">
        <v>-0.756532089075307</v>
      </c>
      <c r="L104" s="6">
        <v>-1.06399112521005</v>
      </c>
      <c r="M104" s="6">
        <v>0.35525946404770498</v>
      </c>
      <c r="N104" s="6">
        <v>1.83753860789006</v>
      </c>
      <c r="O104" s="6">
        <v>0.24407632846124699</v>
      </c>
      <c r="P104" s="6">
        <v>-0.27566580485360198</v>
      </c>
      <c r="Q104" s="6">
        <v>-0.18593839119893099</v>
      </c>
      <c r="R104" s="6">
        <v>-0.80209488487457703</v>
      </c>
      <c r="S104" s="6">
        <v>0.12012191316337301</v>
      </c>
      <c r="T104" s="6">
        <v>0.643496625538304</v>
      </c>
      <c r="U104" s="6">
        <v>0.66710442619111598</v>
      </c>
      <c r="V104" s="6">
        <v>-0.49082605872084101</v>
      </c>
      <c r="W104" s="6">
        <v>1.8490917533756801</v>
      </c>
      <c r="X104" s="6">
        <v>2.6537280205247802</v>
      </c>
      <c r="Y104" s="6">
        <v>1.6497241628413499</v>
      </c>
      <c r="Z104" s="6">
        <v>-1.1827140598596599</v>
      </c>
      <c r="AA104" s="6">
        <v>2.0852414193165099</v>
      </c>
      <c r="AB104" s="6">
        <v>2.0668052952976201</v>
      </c>
      <c r="AC104" s="6">
        <v>0.98477283668952897</v>
      </c>
      <c r="AD104" s="6">
        <v>4.1699925149049903</v>
      </c>
      <c r="AE104" s="6">
        <v>1.44234815618753</v>
      </c>
      <c r="AF104" s="6">
        <v>0.63333447364374196</v>
      </c>
      <c r="AG104" s="6">
        <v>0.57947214674578595</v>
      </c>
      <c r="AH104" s="6">
        <v>-0.133062076266</v>
      </c>
      <c r="AI104" s="6">
        <v>-0.117480081068634</v>
      </c>
      <c r="AJ104" s="6">
        <v>-5.8892848653599103E-2</v>
      </c>
      <c r="AK104" s="6">
        <v>3.1062386132928501</v>
      </c>
      <c r="AL104" s="6">
        <v>-0.52285174372903498</v>
      </c>
      <c r="AM104" s="6">
        <v>1.2702407002999601</v>
      </c>
      <c r="AN104" s="6">
        <v>-2.2737967369564802</v>
      </c>
      <c r="AO104" s="6">
        <v>-0.112784233323665</v>
      </c>
      <c r="AP104" s="6">
        <v>-1.0700433505276501</v>
      </c>
      <c r="AQ104" s="6">
        <v>0.41329792135168397</v>
      </c>
      <c r="AR104" s="6">
        <v>1.0936174064174</v>
      </c>
      <c r="AS104" s="6">
        <v>0.86052764548834604</v>
      </c>
      <c r="AT104" s="6">
        <v>-0.65186751331967197</v>
      </c>
      <c r="AU104" s="6">
        <v>7.6020051856147505E-2</v>
      </c>
      <c r="AV104" s="6">
        <v>-0.46726680580526597</v>
      </c>
      <c r="AW104" s="6">
        <v>1.5509481585789999</v>
      </c>
      <c r="AX104" s="6">
        <v>0.48185045870806598</v>
      </c>
      <c r="AY104" s="6">
        <v>-2.9586042872004299</v>
      </c>
      <c r="AZ104" s="6">
        <v>-1.81759544630548</v>
      </c>
      <c r="BA104" s="6">
        <v>1.0521186076034299</v>
      </c>
      <c r="BB104" s="6">
        <v>0.97538040575462004</v>
      </c>
      <c r="BC104" s="6">
        <v>33.637429319570899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57F60-9008-E640-B95D-E285B60E22E5}">
  <dimension ref="B3:D5"/>
  <sheetViews>
    <sheetView showGridLines="0" tabSelected="1" workbookViewId="0">
      <selection activeCell="I28" sqref="I28"/>
    </sheetView>
  </sheetViews>
  <sheetFormatPr defaultColWidth="11.42578125" defaultRowHeight="15" x14ac:dyDescent="0.25"/>
  <cols>
    <col min="1" max="1" width="7.42578125" customWidth="1"/>
  </cols>
  <sheetData>
    <row r="3" spans="2:4" x14ac:dyDescent="0.25">
      <c r="B3" s="12"/>
      <c r="C3" s="11" t="s">
        <v>58</v>
      </c>
      <c r="D3" s="11" t="s">
        <v>57</v>
      </c>
    </row>
    <row r="4" spans="2:4" x14ac:dyDescent="0.25">
      <c r="B4" s="10" t="s">
        <v>109</v>
      </c>
      <c r="C4" s="5">
        <v>2.3919899999999998</v>
      </c>
      <c r="D4" s="5">
        <v>2.3864399999999999</v>
      </c>
    </row>
    <row r="5" spans="2:4" x14ac:dyDescent="0.25">
      <c r="B5" s="10" t="s">
        <v>110</v>
      </c>
      <c r="C5" s="5">
        <v>2.3365399999999998</v>
      </c>
      <c r="D5" s="5">
        <v>2.3566699999999998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E78CC-CE0C-6842-AC53-28BF095C2104}">
  <dimension ref="B1:J52"/>
  <sheetViews>
    <sheetView showGridLines="0" workbookViewId="0">
      <selection activeCell="G30" sqref="G30"/>
    </sheetView>
  </sheetViews>
  <sheetFormatPr defaultColWidth="11.42578125" defaultRowHeight="15" x14ac:dyDescent="0.25"/>
  <cols>
    <col min="1" max="1" width="5.7109375" customWidth="1"/>
    <col min="5" max="5" width="11.140625" bestFit="1" customWidth="1"/>
    <col min="6" max="7" width="12.7109375" customWidth="1"/>
  </cols>
  <sheetData>
    <row r="1" spans="2:10" ht="18.75" x14ac:dyDescent="0.25">
      <c r="I1" s="15" t="s">
        <v>113</v>
      </c>
    </row>
    <row r="2" spans="2:10" x14ac:dyDescent="0.25">
      <c r="B2" s="12"/>
      <c r="C2" s="11" t="s">
        <v>58</v>
      </c>
      <c r="D2" s="11" t="s">
        <v>57</v>
      </c>
      <c r="E2" s="11" t="s">
        <v>112</v>
      </c>
    </row>
    <row r="3" spans="2:10" x14ac:dyDescent="0.25">
      <c r="B3" s="5" t="s">
        <v>59</v>
      </c>
      <c r="C3" s="13">
        <v>6.1798587814430501</v>
      </c>
      <c r="D3" s="13">
        <v>6.0545212238567903</v>
      </c>
      <c r="E3" s="13">
        <v>7.1079485904978501</v>
      </c>
      <c r="F3" s="9"/>
      <c r="G3" s="9"/>
      <c r="I3" s="16"/>
      <c r="J3" s="16"/>
    </row>
    <row r="4" spans="2:10" x14ac:dyDescent="0.25">
      <c r="B4" s="5" t="s">
        <v>60</v>
      </c>
      <c r="C4" s="13">
        <v>5.0952429868404296</v>
      </c>
      <c r="D4" s="13">
        <v>4.8706553265002102</v>
      </c>
      <c r="E4" s="13">
        <v>5.79627164937793</v>
      </c>
      <c r="F4" s="9"/>
      <c r="G4" s="9"/>
    </row>
    <row r="5" spans="2:10" x14ac:dyDescent="0.25">
      <c r="B5" s="5" t="s">
        <v>61</v>
      </c>
      <c r="C5" s="13">
        <v>3.2855953224049999</v>
      </c>
      <c r="D5" s="13">
        <v>3.2026542716489499</v>
      </c>
      <c r="E5" s="13">
        <v>1.5986514331056201</v>
      </c>
      <c r="F5" s="9"/>
      <c r="G5" s="9"/>
      <c r="I5" s="17"/>
    </row>
    <row r="6" spans="2:10" x14ac:dyDescent="0.25">
      <c r="B6" s="5" t="s">
        <v>62</v>
      </c>
      <c r="C6" s="13">
        <v>3.7584853876612598</v>
      </c>
      <c r="D6" s="13">
        <v>3.5448534651235701</v>
      </c>
      <c r="E6" s="13">
        <v>2.5329526184746798</v>
      </c>
      <c r="F6" s="9"/>
      <c r="G6" s="9"/>
    </row>
    <row r="7" spans="2:10" x14ac:dyDescent="0.25">
      <c r="B7" s="5" t="s">
        <v>63</v>
      </c>
      <c r="C7" s="13">
        <v>-0.33297525858275001</v>
      </c>
      <c r="D7" s="13">
        <v>-0.464032027877405</v>
      </c>
      <c r="E7" s="13">
        <v>0.59068457687993703</v>
      </c>
      <c r="F7" s="9"/>
      <c r="G7" s="9"/>
    </row>
    <row r="8" spans="2:10" x14ac:dyDescent="0.25">
      <c r="B8" s="5" t="s">
        <v>64</v>
      </c>
      <c r="C8" s="13">
        <v>-5.14273683466834</v>
      </c>
      <c r="D8" s="13">
        <v>-4.8933680577642802</v>
      </c>
      <c r="E8" s="13">
        <v>-6.1088180486036796</v>
      </c>
      <c r="F8" s="9"/>
      <c r="G8" s="9"/>
    </row>
    <row r="9" spans="2:10" x14ac:dyDescent="0.25">
      <c r="B9" s="5" t="s">
        <v>65</v>
      </c>
      <c r="C9" s="13">
        <v>-3.1445435672467599</v>
      </c>
      <c r="D9" s="13">
        <v>-2.80139967046187</v>
      </c>
      <c r="E9" s="13">
        <v>-1.9930208642418901</v>
      </c>
      <c r="F9" s="9"/>
      <c r="G9" s="9"/>
    </row>
    <row r="10" spans="2:10" x14ac:dyDescent="0.25">
      <c r="B10" s="5" t="s">
        <v>66</v>
      </c>
      <c r="C10" s="13">
        <v>-1.23806287581896</v>
      </c>
      <c r="D10" s="13">
        <v>-1.4641505718258001</v>
      </c>
      <c r="E10" s="13">
        <v>-1.9829036362505399</v>
      </c>
      <c r="F10" s="9"/>
      <c r="G10" s="9"/>
    </row>
    <row r="11" spans="2:10" x14ac:dyDescent="0.25">
      <c r="B11" s="5" t="s">
        <v>67</v>
      </c>
      <c r="C11" s="13">
        <v>1.3851109276642899</v>
      </c>
      <c r="D11" s="13">
        <v>1.38618059009249</v>
      </c>
      <c r="E11" s="13">
        <v>0.13403418714542301</v>
      </c>
      <c r="F11" s="9"/>
      <c r="G11" s="9"/>
    </row>
    <row r="12" spans="2:10" x14ac:dyDescent="0.25">
      <c r="B12" s="5" t="s">
        <v>68</v>
      </c>
      <c r="C12" s="13">
        <v>-0.44173854478109398</v>
      </c>
      <c r="D12" s="13">
        <v>-0.17687139892249601</v>
      </c>
      <c r="E12" s="13">
        <v>-0.72869044156427298</v>
      </c>
      <c r="F12" s="9"/>
      <c r="G12" s="9"/>
    </row>
    <row r="13" spans="2:10" x14ac:dyDescent="0.25">
      <c r="B13" s="5" t="s">
        <v>69</v>
      </c>
      <c r="C13" s="13">
        <v>-1.6950022467195101</v>
      </c>
      <c r="D13" s="13">
        <v>-1.9549069843421101</v>
      </c>
      <c r="E13" s="13">
        <v>-1.7661059638804799</v>
      </c>
      <c r="F13" s="9"/>
      <c r="G13" s="9"/>
    </row>
    <row r="14" spans="2:10" x14ac:dyDescent="0.25">
      <c r="B14" s="5" t="s">
        <v>70</v>
      </c>
      <c r="C14" s="13">
        <v>2.7303502681827698</v>
      </c>
      <c r="D14" s="13">
        <v>2.7024455867284898</v>
      </c>
      <c r="E14" s="13">
        <v>1.2629138843805701</v>
      </c>
      <c r="F14" s="9"/>
      <c r="G14" s="9"/>
    </row>
    <row r="15" spans="2:10" x14ac:dyDescent="0.25">
      <c r="B15" s="5" t="s">
        <v>71</v>
      </c>
      <c r="C15" s="13">
        <v>0.74744903447790501</v>
      </c>
      <c r="D15" s="13">
        <v>0.63453481409994095</v>
      </c>
      <c r="E15" s="13">
        <v>0.43125374978595099</v>
      </c>
      <c r="F15" s="9"/>
      <c r="G15" s="9"/>
    </row>
    <row r="16" spans="2:10" x14ac:dyDescent="0.25">
      <c r="B16" s="5" t="s">
        <v>72</v>
      </c>
      <c r="C16" s="13">
        <v>-0.97192231772482096</v>
      </c>
      <c r="D16" s="13">
        <v>-0.450587742926843</v>
      </c>
      <c r="E16" s="13">
        <v>-0.224368692022858</v>
      </c>
      <c r="F16" s="9"/>
      <c r="G16" s="9"/>
    </row>
    <row r="17" spans="2:7" x14ac:dyDescent="0.25">
      <c r="B17" s="5" t="s">
        <v>73</v>
      </c>
      <c r="C17" s="13">
        <v>-0.68681528242691003</v>
      </c>
      <c r="D17" s="13">
        <v>-0.242040972441496</v>
      </c>
      <c r="E17" s="13">
        <v>-1.19684905351168</v>
      </c>
      <c r="F17" s="9"/>
      <c r="G17" s="9"/>
    </row>
    <row r="18" spans="2:7" x14ac:dyDescent="0.25">
      <c r="B18" s="5" t="s">
        <v>74</v>
      </c>
      <c r="C18" s="13">
        <v>8.0452238146072101</v>
      </c>
      <c r="D18" s="13">
        <v>7.3067318107264896</v>
      </c>
      <c r="E18" s="13">
        <v>6.9722817347839596</v>
      </c>
      <c r="F18" s="9"/>
      <c r="G18" s="9"/>
    </row>
    <row r="19" spans="2:7" x14ac:dyDescent="0.25">
      <c r="B19" s="5" t="s">
        <v>75</v>
      </c>
      <c r="C19" s="13">
        <v>-7.9469847105420302</v>
      </c>
      <c r="D19" s="13">
        <v>-7.4771655442524096</v>
      </c>
      <c r="E19" s="13">
        <v>-10.1655431175787</v>
      </c>
      <c r="F19" s="9"/>
      <c r="G19" s="9"/>
    </row>
    <row r="20" spans="2:7" x14ac:dyDescent="0.25">
      <c r="B20" s="5" t="s">
        <v>76</v>
      </c>
      <c r="C20" s="13">
        <v>3.8906397391997798</v>
      </c>
      <c r="D20" s="13">
        <v>3.5768977305512601</v>
      </c>
      <c r="E20" s="13">
        <v>3.8383828570921401</v>
      </c>
      <c r="F20" s="9"/>
      <c r="G20" s="9"/>
    </row>
    <row r="21" spans="2:7" x14ac:dyDescent="0.25">
      <c r="B21" s="5" t="s">
        <v>77</v>
      </c>
      <c r="C21" s="13">
        <v>-4.5814291889682401</v>
      </c>
      <c r="D21" s="13">
        <v>-4.3467638936779602</v>
      </c>
      <c r="E21" s="13">
        <v>-2.3758813275168502</v>
      </c>
      <c r="F21" s="9"/>
      <c r="G21" s="9"/>
    </row>
    <row r="22" spans="2:7" x14ac:dyDescent="0.25">
      <c r="B22" s="5" t="s">
        <v>78</v>
      </c>
      <c r="C22" s="13">
        <v>-3.2199208247153899</v>
      </c>
      <c r="D22" s="13">
        <v>-2.9585123343674198</v>
      </c>
      <c r="E22" s="13">
        <v>-1.63008705347222</v>
      </c>
      <c r="F22" s="9"/>
      <c r="G22" s="9"/>
    </row>
    <row r="23" spans="2:7" x14ac:dyDescent="0.25">
      <c r="B23" s="5" t="s">
        <v>79</v>
      </c>
      <c r="C23" s="13">
        <v>-2.1621145380309499</v>
      </c>
      <c r="D23" s="13">
        <v>-1.8917187193331899</v>
      </c>
      <c r="E23" s="13">
        <v>-2.0716209690177698</v>
      </c>
      <c r="F23" s="9"/>
      <c r="G23" s="9"/>
    </row>
    <row r="24" spans="2:7" x14ac:dyDescent="0.25">
      <c r="B24" s="5" t="s">
        <v>80</v>
      </c>
      <c r="C24" s="13">
        <v>3.2168631773246199</v>
      </c>
      <c r="D24" s="13">
        <v>3.32124431407237</v>
      </c>
      <c r="E24" s="13">
        <v>4.4272303968284703</v>
      </c>
      <c r="F24" s="9"/>
      <c r="G24" s="9"/>
    </row>
    <row r="25" spans="2:7" x14ac:dyDescent="0.25">
      <c r="B25" s="5" t="s">
        <v>81</v>
      </c>
      <c r="C25" s="13">
        <v>-3.1981053263742001</v>
      </c>
      <c r="D25" s="13">
        <v>-2.36824607491141</v>
      </c>
      <c r="E25" s="13">
        <v>-2.70441702759685</v>
      </c>
      <c r="F25" s="9"/>
      <c r="G25" s="9"/>
    </row>
    <row r="26" spans="2:7" x14ac:dyDescent="0.25">
      <c r="B26" s="5" t="s">
        <v>82</v>
      </c>
      <c r="C26" s="13">
        <v>0.19740730625327699</v>
      </c>
      <c r="D26" s="13">
        <v>1.16880210707794</v>
      </c>
      <c r="E26" s="13">
        <v>3.3640789191809799</v>
      </c>
      <c r="F26" s="9"/>
      <c r="G26" s="9"/>
    </row>
    <row r="27" spans="2:7" x14ac:dyDescent="0.25">
      <c r="B27" s="5" t="s">
        <v>83</v>
      </c>
      <c r="C27" s="13">
        <v>-2.3598884438628298</v>
      </c>
      <c r="D27" s="13">
        <v>-2.48381762182045</v>
      </c>
      <c r="E27" s="13">
        <v>-1.4982847431944799</v>
      </c>
      <c r="F27" s="9"/>
      <c r="G27" s="9"/>
    </row>
    <row r="28" spans="2:7" x14ac:dyDescent="0.25">
      <c r="B28" s="5" t="s">
        <v>84</v>
      </c>
      <c r="C28" s="13">
        <v>-0.41999885474911303</v>
      </c>
      <c r="D28" s="13">
        <v>-0.20219170863920799</v>
      </c>
      <c r="E28" s="13">
        <v>-1.71598716715392</v>
      </c>
      <c r="F28" s="9"/>
      <c r="G28" s="9"/>
    </row>
    <row r="29" spans="2:7" x14ac:dyDescent="0.25">
      <c r="B29" s="5" t="s">
        <v>85</v>
      </c>
      <c r="C29" s="13">
        <v>-1.91252160273587</v>
      </c>
      <c r="D29" s="13">
        <v>-1.5263683876660901</v>
      </c>
      <c r="E29" s="13">
        <v>1.57284520323245</v>
      </c>
      <c r="F29" s="9"/>
      <c r="G29" s="9"/>
    </row>
    <row r="30" spans="2:7" x14ac:dyDescent="0.25">
      <c r="B30" s="5" t="s">
        <v>86</v>
      </c>
      <c r="C30" s="13">
        <v>-3.3241858672808799</v>
      </c>
      <c r="D30" s="13">
        <v>-2.25381378590895</v>
      </c>
      <c r="E30" s="13">
        <v>-3.9065026330188601</v>
      </c>
      <c r="F30" s="9"/>
      <c r="G30" s="9"/>
    </row>
    <row r="31" spans="2:7" x14ac:dyDescent="0.25">
      <c r="B31" s="5" t="s">
        <v>87</v>
      </c>
      <c r="C31" s="13">
        <v>-3.1417097171886699</v>
      </c>
      <c r="D31" s="13">
        <v>-3.4816287174631699</v>
      </c>
      <c r="E31" s="13">
        <v>-2.9831593165282602</v>
      </c>
      <c r="F31" s="9"/>
      <c r="G31" s="9"/>
    </row>
    <row r="32" spans="2:7" x14ac:dyDescent="0.25">
      <c r="B32" s="5" t="s">
        <v>88</v>
      </c>
      <c r="C32" s="13">
        <v>-3.55379323611047</v>
      </c>
      <c r="D32" s="13">
        <v>-3.6591580052521802</v>
      </c>
      <c r="E32" s="13">
        <v>-5.4013016865289796</v>
      </c>
      <c r="F32" s="9"/>
      <c r="G32" s="9"/>
    </row>
    <row r="33" spans="2:7" x14ac:dyDescent="0.25">
      <c r="B33" s="5" t="s">
        <v>89</v>
      </c>
      <c r="C33" s="13">
        <v>-1.8084254250490901</v>
      </c>
      <c r="D33" s="13">
        <v>-1.6571299614864301</v>
      </c>
      <c r="E33" s="13">
        <v>-2.96151607050425</v>
      </c>
      <c r="F33" s="9"/>
      <c r="G33" s="9"/>
    </row>
    <row r="34" spans="2:7" x14ac:dyDescent="0.25">
      <c r="B34" s="5" t="s">
        <v>90</v>
      </c>
      <c r="C34" s="13">
        <v>-0.37134300556514399</v>
      </c>
      <c r="D34" s="13">
        <v>3.2394552144602497E-2</v>
      </c>
      <c r="E34" s="13">
        <v>0.48699900328011297</v>
      </c>
      <c r="F34" s="9"/>
      <c r="G34" s="9"/>
    </row>
    <row r="35" spans="2:7" x14ac:dyDescent="0.25">
      <c r="B35" s="5" t="s">
        <v>91</v>
      </c>
      <c r="C35" s="13">
        <v>1.8670808021748699</v>
      </c>
      <c r="D35" s="13">
        <v>1.4244963830792201</v>
      </c>
      <c r="E35" s="13">
        <v>4.5739159356433499</v>
      </c>
      <c r="F35" s="9"/>
      <c r="G35" s="9"/>
    </row>
    <row r="36" spans="2:7" x14ac:dyDescent="0.25">
      <c r="B36" s="5" t="s">
        <v>92</v>
      </c>
      <c r="C36" s="13">
        <v>5.0492788628390697</v>
      </c>
      <c r="D36" s="13">
        <v>5.4919473619071804</v>
      </c>
      <c r="E36" s="13">
        <v>7.0770530741950397</v>
      </c>
      <c r="F36" s="9"/>
      <c r="G36" s="9"/>
    </row>
    <row r="37" spans="2:7" x14ac:dyDescent="0.25">
      <c r="B37" s="5" t="s">
        <v>93</v>
      </c>
      <c r="C37" s="13">
        <v>-1.8000561410732601</v>
      </c>
      <c r="D37" s="13">
        <v>-1.17541686142978</v>
      </c>
      <c r="E37" s="13">
        <v>-2.6397805325946999</v>
      </c>
      <c r="F37" s="9"/>
      <c r="G37" s="9"/>
    </row>
    <row r="38" spans="2:7" x14ac:dyDescent="0.25">
      <c r="B38" s="5" t="s">
        <v>94</v>
      </c>
      <c r="C38" s="13">
        <v>3.09427674639957</v>
      </c>
      <c r="D38" s="13">
        <v>2.3217607350659599</v>
      </c>
      <c r="E38" s="13">
        <v>4.5693256594357203</v>
      </c>
      <c r="F38" s="9"/>
      <c r="G38" s="9"/>
    </row>
    <row r="39" spans="2:7" x14ac:dyDescent="0.25">
      <c r="B39" s="5" t="s">
        <v>95</v>
      </c>
      <c r="C39" s="13">
        <v>4.3815430904322596</v>
      </c>
      <c r="D39" s="13">
        <v>4.7350701270054198</v>
      </c>
      <c r="E39" s="13">
        <v>6.4570966387046296</v>
      </c>
      <c r="F39" s="9"/>
      <c r="G39" s="9"/>
    </row>
    <row r="40" spans="2:7" x14ac:dyDescent="0.25">
      <c r="B40" s="5" t="s">
        <v>96</v>
      </c>
      <c r="C40" s="13">
        <v>2.6988626993835201</v>
      </c>
      <c r="D40" s="13">
        <v>3.18259541393738</v>
      </c>
      <c r="E40" s="13">
        <v>2.8062150314663401</v>
      </c>
      <c r="F40" s="9"/>
      <c r="G40" s="9"/>
    </row>
    <row r="41" spans="2:7" x14ac:dyDescent="0.25">
      <c r="B41" s="5" t="s">
        <v>97</v>
      </c>
      <c r="C41" s="13">
        <v>1.61328859754475</v>
      </c>
      <c r="D41" s="13">
        <v>1.5678597407719099</v>
      </c>
      <c r="E41" s="13">
        <v>-0.31367561036219499</v>
      </c>
      <c r="F41" s="9"/>
      <c r="G41" s="9"/>
    </row>
    <row r="42" spans="2:7" x14ac:dyDescent="0.25">
      <c r="B42" s="5" t="s">
        <v>98</v>
      </c>
      <c r="C42" s="13">
        <v>5.9758463724242903</v>
      </c>
      <c r="D42" s="13">
        <v>5.8382514918257602</v>
      </c>
      <c r="E42" s="13">
        <v>8.9699618687725202</v>
      </c>
      <c r="F42" s="9"/>
      <c r="G42" s="9"/>
    </row>
    <row r="43" spans="2:7" x14ac:dyDescent="0.25">
      <c r="B43" s="5" t="s">
        <v>99</v>
      </c>
      <c r="C43" s="13">
        <v>-1.1973582998105701</v>
      </c>
      <c r="D43" s="13">
        <v>-0.83581996414126603</v>
      </c>
      <c r="E43" s="13">
        <v>0.302104386367406</v>
      </c>
      <c r="F43" s="9"/>
      <c r="G43" s="9"/>
    </row>
    <row r="44" spans="2:7" x14ac:dyDescent="0.25">
      <c r="B44" s="5" t="s">
        <v>100</v>
      </c>
      <c r="C44" s="13">
        <v>5.2232541980552698</v>
      </c>
      <c r="D44" s="13">
        <v>4.6459911124698099</v>
      </c>
      <c r="E44" s="13">
        <v>5.0469564371848099</v>
      </c>
      <c r="F44" s="9"/>
      <c r="G44" s="9"/>
    </row>
    <row r="45" spans="2:7" x14ac:dyDescent="0.25">
      <c r="B45" s="5" t="s">
        <v>101</v>
      </c>
      <c r="C45" s="13">
        <v>-5.8489989084902803</v>
      </c>
      <c r="D45" s="13">
        <v>-5.6650641284068204</v>
      </c>
      <c r="E45" s="13">
        <v>-8.1250099343779993</v>
      </c>
      <c r="F45" s="9"/>
      <c r="G45" s="9"/>
    </row>
    <row r="46" spans="2:7" x14ac:dyDescent="0.25">
      <c r="B46" s="5" t="s">
        <v>102</v>
      </c>
      <c r="C46" s="13">
        <v>-1.14461527900551</v>
      </c>
      <c r="D46" s="13">
        <v>-1.17860626493611</v>
      </c>
      <c r="E46" s="13">
        <v>-1.4126753928378</v>
      </c>
      <c r="F46" s="9"/>
      <c r="G46" s="9"/>
    </row>
    <row r="47" spans="2:7" x14ac:dyDescent="0.25">
      <c r="B47" s="5" t="s">
        <v>103</v>
      </c>
      <c r="C47" s="13">
        <v>4.5180299753456001</v>
      </c>
      <c r="D47" s="13">
        <v>4.1946715382865403</v>
      </c>
      <c r="E47" s="13">
        <v>2.8623371500726802</v>
      </c>
      <c r="F47" s="9"/>
      <c r="G47" s="9"/>
    </row>
    <row r="48" spans="2:7" x14ac:dyDescent="0.25">
      <c r="B48" s="5" t="s">
        <v>104</v>
      </c>
      <c r="C48" s="13">
        <v>4.1877486556031398</v>
      </c>
      <c r="D48" s="13">
        <v>4.1043577485739604</v>
      </c>
      <c r="E48" s="13">
        <v>5.2644866071311496</v>
      </c>
      <c r="F48" s="9"/>
      <c r="G48" s="9"/>
    </row>
    <row r="49" spans="2:7" x14ac:dyDescent="0.25">
      <c r="B49" s="5" t="s">
        <v>105</v>
      </c>
      <c r="C49" s="13">
        <v>4.1204600830219302</v>
      </c>
      <c r="D49" s="13">
        <v>3.8137937856019501</v>
      </c>
      <c r="E49" s="13">
        <v>6.0982912256297297</v>
      </c>
      <c r="F49" s="9"/>
      <c r="G49" s="9"/>
    </row>
    <row r="50" spans="2:7" x14ac:dyDescent="0.25">
      <c r="B50" s="5" t="s">
        <v>106</v>
      </c>
      <c r="C50" s="13">
        <v>0.61483808860050604</v>
      </c>
      <c r="D50" s="13">
        <v>0.63717902297279905</v>
      </c>
      <c r="E50" s="13">
        <v>2.8913277153127601</v>
      </c>
      <c r="F50" s="9"/>
      <c r="G50" s="9"/>
    </row>
    <row r="51" spans="2:7" x14ac:dyDescent="0.25">
      <c r="B51" s="5" t="s">
        <v>107</v>
      </c>
      <c r="C51" s="13">
        <v>1.9572324582774101</v>
      </c>
      <c r="D51" s="13">
        <v>1.86269445339315</v>
      </c>
      <c r="E51" s="13">
        <v>4.4010258192162401E-2</v>
      </c>
      <c r="F51" s="9"/>
      <c r="G51" s="9"/>
    </row>
    <row r="52" spans="2:7" x14ac:dyDescent="0.25">
      <c r="B52" s="5" t="s">
        <v>108</v>
      </c>
      <c r="C52" s="13">
        <v>-1.5490438298035001</v>
      </c>
      <c r="D52" s="13">
        <v>-0.98120393158288</v>
      </c>
      <c r="E52" s="13">
        <v>-2.8156458150013699</v>
      </c>
      <c r="F52" s="9"/>
      <c r="G52" s="9"/>
    </row>
  </sheetData>
  <phoneticPr fontId="20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4F131-CF91-F343-A087-C43C195A94B6}">
  <sheetPr filterMode="1"/>
  <dimension ref="B2:BU55"/>
  <sheetViews>
    <sheetView showGridLines="0" workbookViewId="0">
      <selection activeCell="B13" sqref="B13"/>
    </sheetView>
  </sheetViews>
  <sheetFormatPr defaultColWidth="11.42578125" defaultRowHeight="15" x14ac:dyDescent="0.25"/>
  <cols>
    <col min="1" max="1" width="5.85546875" customWidth="1"/>
    <col min="20" max="73" width="0" hidden="1" customWidth="1"/>
  </cols>
  <sheetData>
    <row r="2" spans="2:73" x14ac:dyDescent="0.25">
      <c r="C2" s="18" t="s">
        <v>56</v>
      </c>
      <c r="D2" s="18"/>
    </row>
    <row r="3" spans="2:73" x14ac:dyDescent="0.25">
      <c r="B3" s="12"/>
      <c r="C3" s="11" t="s">
        <v>58</v>
      </c>
      <c r="D3" s="11" t="s">
        <v>57</v>
      </c>
    </row>
    <row r="4" spans="2:73" x14ac:dyDescent="0.25">
      <c r="B4" s="5" t="s">
        <v>114</v>
      </c>
      <c r="C4" s="13">
        <v>0.97252407655148498</v>
      </c>
      <c r="D4" s="13">
        <v>1.27623248621841</v>
      </c>
      <c r="E4" t="b">
        <f>AND(C4=0,D4=0)</f>
        <v>0</v>
      </c>
    </row>
    <row r="5" spans="2:73" hidden="1" x14ac:dyDescent="0.25">
      <c r="B5" s="5" t="s">
        <v>2</v>
      </c>
      <c r="C5" s="13">
        <v>0</v>
      </c>
      <c r="D5" s="13">
        <v>0</v>
      </c>
      <c r="E5" t="b">
        <f>AND(C5=0,D5=0)</f>
        <v>1</v>
      </c>
      <c r="T5" s="2" t="s">
        <v>0</v>
      </c>
      <c r="U5" s="2" t="s">
        <v>1</v>
      </c>
      <c r="V5" s="2" t="s">
        <v>2</v>
      </c>
      <c r="W5" s="2" t="s">
        <v>3</v>
      </c>
      <c r="X5" s="2" t="s">
        <v>4</v>
      </c>
      <c r="Y5" s="2" t="s">
        <v>5</v>
      </c>
      <c r="Z5" s="2" t="s">
        <v>6</v>
      </c>
      <c r="AA5" s="2" t="s">
        <v>7</v>
      </c>
      <c r="AB5" s="2" t="s">
        <v>8</v>
      </c>
      <c r="AC5" s="2" t="s">
        <v>9</v>
      </c>
      <c r="AD5" s="2" t="s">
        <v>10</v>
      </c>
      <c r="AE5" s="2" t="s">
        <v>11</v>
      </c>
      <c r="AF5" s="2" t="s">
        <v>12</v>
      </c>
      <c r="AG5" s="2" t="s">
        <v>13</v>
      </c>
      <c r="AH5" s="2" t="s">
        <v>14</v>
      </c>
      <c r="AI5" s="2" t="s">
        <v>15</v>
      </c>
      <c r="AJ5" s="2" t="s">
        <v>16</v>
      </c>
      <c r="AK5" s="2" t="s">
        <v>17</v>
      </c>
      <c r="AL5" s="2" t="s">
        <v>18</v>
      </c>
      <c r="AM5" s="2" t="s">
        <v>19</v>
      </c>
      <c r="AN5" s="2" t="s">
        <v>20</v>
      </c>
      <c r="AO5" s="2" t="s">
        <v>21</v>
      </c>
      <c r="AP5" s="2" t="s">
        <v>22</v>
      </c>
      <c r="AQ5" s="2" t="s">
        <v>23</v>
      </c>
      <c r="AR5" s="2" t="s">
        <v>24</v>
      </c>
      <c r="AS5" s="2" t="s">
        <v>25</v>
      </c>
      <c r="AT5" s="2" t="s">
        <v>26</v>
      </c>
      <c r="AU5" s="2" t="s">
        <v>27</v>
      </c>
      <c r="AV5" s="2" t="s">
        <v>28</v>
      </c>
      <c r="AW5" s="2" t="s">
        <v>29</v>
      </c>
      <c r="AX5" s="2" t="s">
        <v>30</v>
      </c>
      <c r="AY5" s="2" t="s">
        <v>31</v>
      </c>
      <c r="AZ5" s="2" t="s">
        <v>32</v>
      </c>
      <c r="BA5" s="2" t="s">
        <v>33</v>
      </c>
      <c r="BB5" s="2" t="s">
        <v>34</v>
      </c>
      <c r="BC5" s="2" t="s">
        <v>35</v>
      </c>
      <c r="BD5" s="2" t="s">
        <v>36</v>
      </c>
      <c r="BE5" s="2" t="s">
        <v>37</v>
      </c>
      <c r="BF5" s="2" t="s">
        <v>38</v>
      </c>
      <c r="BG5" s="2" t="s">
        <v>39</v>
      </c>
      <c r="BH5" s="2" t="s">
        <v>40</v>
      </c>
      <c r="BI5" s="2" t="s">
        <v>41</v>
      </c>
      <c r="BJ5" s="2" t="s">
        <v>42</v>
      </c>
      <c r="BK5" s="2" t="s">
        <v>43</v>
      </c>
      <c r="BL5" s="2" t="s">
        <v>44</v>
      </c>
      <c r="BM5" s="2" t="s">
        <v>45</v>
      </c>
      <c r="BN5" s="2" t="s">
        <v>46</v>
      </c>
      <c r="BO5" s="2" t="s">
        <v>47</v>
      </c>
      <c r="BP5" s="2" t="s">
        <v>48</v>
      </c>
      <c r="BQ5" s="2" t="s">
        <v>49</v>
      </c>
      <c r="BR5" s="2" t="s">
        <v>50</v>
      </c>
      <c r="BS5" s="2" t="s">
        <v>51</v>
      </c>
      <c r="BT5" s="2" t="s">
        <v>52</v>
      </c>
      <c r="BU5" s="2" t="s">
        <v>53</v>
      </c>
    </row>
    <row r="6" spans="2:73" hidden="1" x14ac:dyDescent="0.25">
      <c r="B6" s="5" t="s">
        <v>3</v>
      </c>
      <c r="C6" s="13">
        <v>0</v>
      </c>
      <c r="D6" s="13">
        <v>0</v>
      </c>
      <c r="E6" t="b">
        <f t="shared" ref="E6:E54" si="0">AND(C6=0,D6=0)</f>
        <v>1</v>
      </c>
      <c r="T6" s="2">
        <v>10</v>
      </c>
      <c r="U6" s="2">
        <v>0</v>
      </c>
      <c r="V6" s="1">
        <v>0.120451039771114</v>
      </c>
      <c r="W6" s="1">
        <v>0</v>
      </c>
      <c r="X6" s="1">
        <v>-0.77682402779672399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-2.0647161623863401</v>
      </c>
      <c r="AE6" s="1">
        <v>-0.51873780066174502</v>
      </c>
      <c r="AF6" s="1">
        <v>-0.85327752811737201</v>
      </c>
      <c r="AG6" s="1">
        <v>0</v>
      </c>
      <c r="AH6" s="1">
        <v>0</v>
      </c>
      <c r="AI6" s="1">
        <v>0</v>
      </c>
      <c r="AJ6" s="1">
        <v>-1.1463486752207499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-1.52210456178638</v>
      </c>
      <c r="AS6" s="1">
        <v>0</v>
      </c>
      <c r="AT6" s="1">
        <v>0</v>
      </c>
      <c r="AU6" s="1">
        <v>-2.0813347409080101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1.4381645816923101</v>
      </c>
      <c r="BO6" s="1">
        <v>0</v>
      </c>
      <c r="BP6" s="1">
        <v>1.12789254999598</v>
      </c>
      <c r="BQ6" s="1">
        <v>0</v>
      </c>
      <c r="BR6" s="1">
        <v>0</v>
      </c>
      <c r="BS6" s="1">
        <v>0</v>
      </c>
      <c r="BT6" s="1">
        <v>1.24571866321658</v>
      </c>
      <c r="BU6" s="1">
        <v>2.5604958101158801</v>
      </c>
    </row>
    <row r="7" spans="2:73" hidden="1" x14ac:dyDescent="0.25">
      <c r="B7" s="5" t="s">
        <v>4</v>
      </c>
      <c r="C7" s="13">
        <v>0</v>
      </c>
      <c r="D7" s="13">
        <v>0</v>
      </c>
      <c r="E7" t="b">
        <f t="shared" si="0"/>
        <v>1</v>
      </c>
      <c r="T7" s="2">
        <v>10</v>
      </c>
      <c r="U7" s="2">
        <v>1</v>
      </c>
      <c r="V7" s="1">
        <v>0.117567133327144</v>
      </c>
      <c r="W7" s="1">
        <v>0</v>
      </c>
      <c r="X7" s="1">
        <v>-0.796346126497811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-1.9812523151541199</v>
      </c>
      <c r="AE7" s="1">
        <v>-0.64839042480023701</v>
      </c>
      <c r="AF7" s="1">
        <v>-0.91483114845657598</v>
      </c>
      <c r="AG7" s="1">
        <v>0</v>
      </c>
      <c r="AH7" s="1">
        <v>0</v>
      </c>
      <c r="AI7" s="1">
        <v>0</v>
      </c>
      <c r="AJ7" s="1">
        <v>-1.2231643572331501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-1.44739261065521</v>
      </c>
      <c r="AS7" s="1">
        <v>0</v>
      </c>
      <c r="AT7" s="1">
        <v>0</v>
      </c>
      <c r="AU7" s="1">
        <v>-2.2894762242494702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1.4234608844488501</v>
      </c>
      <c r="BO7" s="1">
        <v>0</v>
      </c>
      <c r="BP7" s="1">
        <v>1.2113881941519899</v>
      </c>
      <c r="BQ7" s="1">
        <v>0</v>
      </c>
      <c r="BR7" s="1">
        <v>0</v>
      </c>
      <c r="BS7" s="1">
        <v>0</v>
      </c>
      <c r="BT7" s="1">
        <v>1.33783410181852</v>
      </c>
      <c r="BU7" s="1">
        <v>9.7648262112089004</v>
      </c>
    </row>
    <row r="8" spans="2:73" hidden="1" x14ac:dyDescent="0.25">
      <c r="B8" s="5" t="s">
        <v>5</v>
      </c>
      <c r="C8" s="13">
        <v>0</v>
      </c>
      <c r="D8" s="13">
        <v>0</v>
      </c>
      <c r="E8" t="b">
        <f t="shared" si="0"/>
        <v>1</v>
      </c>
      <c r="T8" s="2">
        <v>10</v>
      </c>
      <c r="U8" s="2">
        <v>2</v>
      </c>
      <c r="V8" s="1">
        <v>0.148311023396101</v>
      </c>
      <c r="W8" s="1">
        <v>0</v>
      </c>
      <c r="X8" s="1">
        <v>-0.69526968487847896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-1.99453664697346</v>
      </c>
      <c r="AE8" s="1">
        <v>-0.51599923443745699</v>
      </c>
      <c r="AF8" s="1">
        <v>-0.80307835771191505</v>
      </c>
      <c r="AG8" s="1">
        <v>0</v>
      </c>
      <c r="AH8" s="1">
        <v>0</v>
      </c>
      <c r="AI8" s="1">
        <v>0</v>
      </c>
      <c r="AJ8" s="1">
        <v>-1.12531893481288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-1.66864052305213</v>
      </c>
      <c r="AS8" s="1">
        <v>0</v>
      </c>
      <c r="AT8" s="1">
        <v>0</v>
      </c>
      <c r="AU8" s="1">
        <v>-2.1249213168985901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1.43055722968779</v>
      </c>
      <c r="BO8" s="1">
        <v>0</v>
      </c>
      <c r="BP8" s="1">
        <v>1.0754720674293099</v>
      </c>
      <c r="BQ8" s="1">
        <v>0</v>
      </c>
      <c r="BR8" s="1">
        <v>0</v>
      </c>
      <c r="BS8" s="1">
        <v>0</v>
      </c>
      <c r="BT8" s="1">
        <v>1.24203564752648</v>
      </c>
      <c r="BU8" s="1">
        <v>3.50488845615746</v>
      </c>
    </row>
    <row r="9" spans="2:73" hidden="1" x14ac:dyDescent="0.25">
      <c r="B9" s="5" t="s">
        <v>6</v>
      </c>
      <c r="C9" s="13">
        <v>0</v>
      </c>
      <c r="D9" s="13">
        <v>0</v>
      </c>
      <c r="E9" t="b">
        <f t="shared" si="0"/>
        <v>1</v>
      </c>
      <c r="T9" s="2">
        <v>10</v>
      </c>
      <c r="U9" s="2">
        <v>3</v>
      </c>
      <c r="V9" s="1">
        <v>0.173513420343749</v>
      </c>
      <c r="W9" s="1">
        <v>0</v>
      </c>
      <c r="X9" s="1">
        <v>0</v>
      </c>
      <c r="Y9" s="1">
        <v>0</v>
      </c>
      <c r="Z9" s="1">
        <v>0</v>
      </c>
      <c r="AA9" s="1">
        <v>-1.02547305390988</v>
      </c>
      <c r="AB9" s="1">
        <v>0</v>
      </c>
      <c r="AC9" s="1">
        <v>0</v>
      </c>
      <c r="AD9" s="1">
        <v>-1.98180225046824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-1.3926307546746</v>
      </c>
      <c r="AK9" s="1">
        <v>-0.77626334159769295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-1.3894343179981801</v>
      </c>
      <c r="AS9" s="1">
        <v>0</v>
      </c>
      <c r="AT9" s="1">
        <v>0</v>
      </c>
      <c r="AU9" s="1">
        <v>-0.65590479409433899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-0.71687800130888102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-1.63985397315995</v>
      </c>
      <c r="BM9" s="1">
        <v>0</v>
      </c>
      <c r="BN9" s="1">
        <v>0</v>
      </c>
      <c r="BO9" s="1">
        <v>0</v>
      </c>
      <c r="BP9" s="1">
        <v>0</v>
      </c>
      <c r="BQ9" s="1">
        <v>-1.2435406539639799</v>
      </c>
      <c r="BR9" s="1">
        <v>0</v>
      </c>
      <c r="BS9" s="1">
        <v>0</v>
      </c>
      <c r="BT9" s="1">
        <v>0.84776157794073703</v>
      </c>
      <c r="BU9" s="1">
        <v>43.4856972775084</v>
      </c>
    </row>
    <row r="10" spans="2:73" hidden="1" x14ac:dyDescent="0.25">
      <c r="B10" s="5" t="s">
        <v>7</v>
      </c>
      <c r="C10" s="13">
        <v>0</v>
      </c>
      <c r="D10" s="13">
        <v>0</v>
      </c>
      <c r="E10" t="b">
        <f t="shared" si="0"/>
        <v>1</v>
      </c>
      <c r="T10" s="2">
        <v>10</v>
      </c>
      <c r="U10" s="2">
        <v>4</v>
      </c>
      <c r="V10" s="1">
        <v>0.15465772310261799</v>
      </c>
      <c r="W10" s="1">
        <v>0</v>
      </c>
      <c r="X10" s="1">
        <v>-0.81995002788847404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-1.95874480927881</v>
      </c>
      <c r="AE10" s="1">
        <v>-0.59029157426392598</v>
      </c>
      <c r="AF10" s="1">
        <v>-0.84853920750645395</v>
      </c>
      <c r="AG10" s="1">
        <v>0</v>
      </c>
      <c r="AH10" s="1">
        <v>0</v>
      </c>
      <c r="AI10" s="1">
        <v>0</v>
      </c>
      <c r="AJ10" s="1">
        <v>-1.1575815605567199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-1.5444861537227701</v>
      </c>
      <c r="AS10" s="1">
        <v>0</v>
      </c>
      <c r="AT10" s="1">
        <v>0</v>
      </c>
      <c r="AU10" s="1">
        <v>-2.1695168730657599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1.52271886182257</v>
      </c>
      <c r="BO10" s="1">
        <v>0</v>
      </c>
      <c r="BP10" s="1">
        <v>0.90777450870108101</v>
      </c>
      <c r="BQ10" s="1">
        <v>0</v>
      </c>
      <c r="BR10" s="1">
        <v>0</v>
      </c>
      <c r="BS10" s="1">
        <v>0</v>
      </c>
      <c r="BT10" s="1">
        <v>1.0980767701429399</v>
      </c>
      <c r="BU10" s="1">
        <v>12.393722052134301</v>
      </c>
    </row>
    <row r="11" spans="2:73" hidden="1" x14ac:dyDescent="0.25">
      <c r="B11" s="5" t="s">
        <v>8</v>
      </c>
      <c r="C11" s="13">
        <v>0</v>
      </c>
      <c r="D11" s="13">
        <v>0</v>
      </c>
      <c r="E11" t="b">
        <f t="shared" si="0"/>
        <v>1</v>
      </c>
      <c r="T11" s="2">
        <v>10</v>
      </c>
      <c r="U11" s="2">
        <v>5</v>
      </c>
      <c r="V11" s="1">
        <v>0.21395201301283601</v>
      </c>
      <c r="W11" s="1">
        <v>0</v>
      </c>
      <c r="X11" s="1">
        <v>0</v>
      </c>
      <c r="Y11" s="1">
        <v>0</v>
      </c>
      <c r="Z11" s="1">
        <v>0</v>
      </c>
      <c r="AA11" s="1">
        <v>-1.1421619995569701</v>
      </c>
      <c r="AB11" s="1">
        <v>0</v>
      </c>
      <c r="AC11" s="1">
        <v>0</v>
      </c>
      <c r="AD11" s="1">
        <v>-1.9622325440969799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-1.2474271471820599</v>
      </c>
      <c r="AK11" s="1">
        <v>-1.15807932467254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-0.99908117461158497</v>
      </c>
      <c r="AS11" s="1">
        <v>0</v>
      </c>
      <c r="AT11" s="1">
        <v>-0.71390631835287199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-0.97958028014343901</v>
      </c>
      <c r="BF11" s="1">
        <v>0</v>
      </c>
      <c r="BG11" s="1">
        <v>0</v>
      </c>
      <c r="BH11" s="1">
        <v>-1.4598449290492299</v>
      </c>
      <c r="BI11" s="1">
        <v>0</v>
      </c>
      <c r="BJ11" s="1">
        <v>0</v>
      </c>
      <c r="BK11" s="1">
        <v>0</v>
      </c>
      <c r="BL11" s="1">
        <v>-1.4730369678826001</v>
      </c>
      <c r="BM11" s="1">
        <v>0</v>
      </c>
      <c r="BN11" s="1">
        <v>0</v>
      </c>
      <c r="BO11" s="1">
        <v>0</v>
      </c>
      <c r="BP11" s="1">
        <v>0</v>
      </c>
      <c r="BQ11" s="1">
        <v>-1.01008798474211</v>
      </c>
      <c r="BR11" s="1">
        <v>0</v>
      </c>
      <c r="BS11" s="1">
        <v>0</v>
      </c>
      <c r="BT11" s="1">
        <v>0</v>
      </c>
      <c r="BU11" s="1">
        <v>45.432833032504597</v>
      </c>
    </row>
    <row r="12" spans="2:73" hidden="1" x14ac:dyDescent="0.25">
      <c r="B12" s="5" t="s">
        <v>9</v>
      </c>
      <c r="C12" s="13">
        <v>0</v>
      </c>
      <c r="D12" s="13">
        <v>0</v>
      </c>
      <c r="E12" t="b">
        <f t="shared" si="0"/>
        <v>1</v>
      </c>
      <c r="T12" s="2">
        <v>10</v>
      </c>
      <c r="U12" s="2">
        <v>6</v>
      </c>
      <c r="V12" s="1">
        <v>0.20156251691226501</v>
      </c>
      <c r="W12" s="1">
        <v>0</v>
      </c>
      <c r="X12" s="1">
        <v>-0.75130579054501301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-1.9956049267063301</v>
      </c>
      <c r="AE12" s="1">
        <v>-0.45360969560827702</v>
      </c>
      <c r="AF12" s="1">
        <v>-0.78395183648316302</v>
      </c>
      <c r="AG12" s="1">
        <v>0</v>
      </c>
      <c r="AH12" s="1">
        <v>0</v>
      </c>
      <c r="AI12" s="1">
        <v>0</v>
      </c>
      <c r="AJ12" s="1">
        <v>-1.14274987921265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-1.5832492718701201</v>
      </c>
      <c r="AS12" s="1">
        <v>0</v>
      </c>
      <c r="AT12" s="1">
        <v>0</v>
      </c>
      <c r="AU12" s="1">
        <v>-2.1198322462519199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1.35037994253004</v>
      </c>
      <c r="BO12" s="1">
        <v>0</v>
      </c>
      <c r="BP12" s="1">
        <v>1.02995705089501</v>
      </c>
      <c r="BQ12" s="1">
        <v>0</v>
      </c>
      <c r="BR12" s="1">
        <v>0</v>
      </c>
      <c r="BS12" s="1">
        <v>0</v>
      </c>
      <c r="BT12" s="1">
        <v>1.2266375340958999</v>
      </c>
      <c r="BU12" s="1">
        <v>0.86145598801074597</v>
      </c>
    </row>
    <row r="13" spans="2:73" x14ac:dyDescent="0.25">
      <c r="B13" s="5" t="s">
        <v>10</v>
      </c>
      <c r="C13" s="13">
        <v>-2.3082072619383398</v>
      </c>
      <c r="D13" s="13">
        <v>-2.7198268510747599</v>
      </c>
      <c r="E13" t="b">
        <f t="shared" si="0"/>
        <v>0</v>
      </c>
      <c r="T13" s="2">
        <v>10</v>
      </c>
      <c r="U13" s="2">
        <v>7</v>
      </c>
      <c r="V13" s="1">
        <v>0.17918125875406901</v>
      </c>
      <c r="W13" s="1">
        <v>0</v>
      </c>
      <c r="X13" s="1">
        <v>-0.78953416058682802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-2.0363862063592402</v>
      </c>
      <c r="AE13" s="1">
        <v>-0.43684748696322401</v>
      </c>
      <c r="AF13" s="1">
        <v>-0.86458872579180301</v>
      </c>
      <c r="AG13" s="1">
        <v>0</v>
      </c>
      <c r="AH13" s="1">
        <v>0</v>
      </c>
      <c r="AI13" s="1">
        <v>0</v>
      </c>
      <c r="AJ13" s="1">
        <v>-1.1343609369971599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-1.48255006318327</v>
      </c>
      <c r="AS13" s="1">
        <v>0</v>
      </c>
      <c r="AT13" s="1">
        <v>0</v>
      </c>
      <c r="AU13" s="1">
        <v>-2.0482539417147598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1.4976749533257701</v>
      </c>
      <c r="BO13" s="1">
        <v>0</v>
      </c>
      <c r="BP13" s="1">
        <v>1.1159474417638899</v>
      </c>
      <c r="BQ13" s="1">
        <v>0</v>
      </c>
      <c r="BR13" s="1">
        <v>0</v>
      </c>
      <c r="BS13" s="1">
        <v>0</v>
      </c>
      <c r="BT13" s="1">
        <v>1.2426250847387399</v>
      </c>
      <c r="BU13" s="1">
        <v>7.0371188943478797</v>
      </c>
    </row>
    <row r="14" spans="2:73" hidden="1" x14ac:dyDescent="0.25">
      <c r="B14" s="5" t="s">
        <v>11</v>
      </c>
      <c r="C14" s="13">
        <v>0</v>
      </c>
      <c r="D14" s="13">
        <v>0</v>
      </c>
      <c r="E14" t="b">
        <f t="shared" si="0"/>
        <v>1</v>
      </c>
      <c r="T14" s="2">
        <v>10</v>
      </c>
      <c r="U14" s="2">
        <v>8</v>
      </c>
      <c r="V14" s="1">
        <v>0.19542916504981001</v>
      </c>
      <c r="W14" s="1">
        <v>0</v>
      </c>
      <c r="X14" s="1">
        <v>-0.78270842296710996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-1.9288412401125601</v>
      </c>
      <c r="AE14" s="1">
        <v>-0.478807127296762</v>
      </c>
      <c r="AF14" s="1">
        <v>-0.82342006423185699</v>
      </c>
      <c r="AG14" s="1">
        <v>0</v>
      </c>
      <c r="AH14" s="1">
        <v>0</v>
      </c>
      <c r="AI14" s="1">
        <v>0</v>
      </c>
      <c r="AJ14" s="1">
        <v>-0.98633770329177295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-1.4294649748975601</v>
      </c>
      <c r="AS14" s="1">
        <v>0</v>
      </c>
      <c r="AT14" s="1">
        <v>0</v>
      </c>
      <c r="AU14" s="1">
        <v>-2.27861824304986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1.49275020365057</v>
      </c>
      <c r="BO14" s="1">
        <v>0</v>
      </c>
      <c r="BP14" s="1">
        <v>1.1376222576831201</v>
      </c>
      <c r="BQ14" s="1">
        <v>0</v>
      </c>
      <c r="BR14" s="1">
        <v>0</v>
      </c>
      <c r="BS14" s="1">
        <v>0</v>
      </c>
      <c r="BT14" s="1">
        <v>1.30031059711667</v>
      </c>
      <c r="BU14" s="1">
        <v>7.2765374880447098</v>
      </c>
    </row>
    <row r="15" spans="2:73" x14ac:dyDescent="0.25">
      <c r="B15" s="5" t="s">
        <v>12</v>
      </c>
      <c r="C15" s="13">
        <v>0</v>
      </c>
      <c r="D15" s="13">
        <v>-5.7453342667878299E-2</v>
      </c>
      <c r="E15" t="b">
        <f t="shared" si="0"/>
        <v>0</v>
      </c>
      <c r="T15" s="2">
        <v>10</v>
      </c>
      <c r="U15" s="2">
        <v>9</v>
      </c>
      <c r="V15" s="1">
        <v>0.114196270031966</v>
      </c>
      <c r="W15" s="1">
        <v>-0.48867352866923203</v>
      </c>
      <c r="X15" s="1">
        <v>-0.86322844515834296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-2.1152160882537401</v>
      </c>
      <c r="AE15" s="1">
        <v>0</v>
      </c>
      <c r="AF15" s="1">
        <v>-0.70590078612657403</v>
      </c>
      <c r="AG15" s="1">
        <v>0</v>
      </c>
      <c r="AH15" s="1">
        <v>0</v>
      </c>
      <c r="AI15" s="1">
        <v>0</v>
      </c>
      <c r="AJ15" s="1">
        <v>-1.3677281350197901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-1.59716632949582</v>
      </c>
      <c r="AS15" s="1">
        <v>0</v>
      </c>
      <c r="AT15" s="1">
        <v>0</v>
      </c>
      <c r="AU15" s="1">
        <v>-1.9201746082312201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1.25885622473324</v>
      </c>
      <c r="BO15" s="1">
        <v>0</v>
      </c>
      <c r="BP15" s="1">
        <v>1.0455416405309199</v>
      </c>
      <c r="BQ15" s="1">
        <v>0</v>
      </c>
      <c r="BR15" s="1">
        <v>0</v>
      </c>
      <c r="BS15" s="1">
        <v>0</v>
      </c>
      <c r="BT15" s="1">
        <v>0.98868035896879203</v>
      </c>
      <c r="BU15" s="1">
        <v>18.4926083691667</v>
      </c>
    </row>
    <row r="16" spans="2:73" hidden="1" x14ac:dyDescent="0.25">
      <c r="B16" s="5" t="s">
        <v>13</v>
      </c>
      <c r="C16" s="13">
        <v>0</v>
      </c>
      <c r="D16" s="13">
        <v>0</v>
      </c>
      <c r="E16" t="b">
        <f t="shared" si="0"/>
        <v>1</v>
      </c>
      <c r="V16" s="9">
        <f>AVERAGE(V6:V15)</f>
        <v>0.16188215637016723</v>
      </c>
      <c r="W16" s="9">
        <f t="shared" ref="W16:BU16" si="1">AVERAGE(W6:W15)</f>
        <v>-4.8867352866923203E-2</v>
      </c>
      <c r="X16" s="9">
        <f t="shared" si="1"/>
        <v>-0.62751666863187816</v>
      </c>
      <c r="Y16" s="9">
        <f t="shared" si="1"/>
        <v>0</v>
      </c>
      <c r="Z16" s="9">
        <f t="shared" si="1"/>
        <v>0</v>
      </c>
      <c r="AA16" s="9">
        <f t="shared" si="1"/>
        <v>-0.21676350534668504</v>
      </c>
      <c r="AB16" s="9">
        <f t="shared" si="1"/>
        <v>0</v>
      </c>
      <c r="AC16" s="9">
        <f t="shared" si="1"/>
        <v>0</v>
      </c>
      <c r="AD16" s="9">
        <f t="shared" si="1"/>
        <v>-2.0019333189789821</v>
      </c>
      <c r="AE16" s="9">
        <f t="shared" si="1"/>
        <v>-0.36426833440316281</v>
      </c>
      <c r="AF16" s="9">
        <f t="shared" si="1"/>
        <v>-0.65975876544257139</v>
      </c>
      <c r="AG16" s="9">
        <f t="shared" si="1"/>
        <v>0</v>
      </c>
      <c r="AH16" s="9">
        <f t="shared" si="1"/>
        <v>0</v>
      </c>
      <c r="AI16" s="9">
        <f t="shared" si="1"/>
        <v>0</v>
      </c>
      <c r="AJ16" s="9">
        <f t="shared" si="1"/>
        <v>-1.192364808420153</v>
      </c>
      <c r="AK16" s="9">
        <f t="shared" si="1"/>
        <v>-0.19343426662702329</v>
      </c>
      <c r="AL16" s="9">
        <f t="shared" si="1"/>
        <v>0</v>
      </c>
      <c r="AM16" s="9">
        <f t="shared" si="1"/>
        <v>0</v>
      </c>
      <c r="AN16" s="9">
        <f t="shared" si="1"/>
        <v>0</v>
      </c>
      <c r="AO16" s="9">
        <f t="shared" si="1"/>
        <v>0</v>
      </c>
      <c r="AP16" s="9">
        <f t="shared" si="1"/>
        <v>0</v>
      </c>
      <c r="AQ16" s="9">
        <f t="shared" si="1"/>
        <v>0</v>
      </c>
      <c r="AR16" s="9">
        <f t="shared" si="1"/>
        <v>-1.4663569981273024</v>
      </c>
      <c r="AS16" s="9">
        <f t="shared" si="1"/>
        <v>0</v>
      </c>
      <c r="AT16" s="9">
        <f t="shared" si="1"/>
        <v>-7.1390631835287197E-2</v>
      </c>
      <c r="AU16" s="9">
        <f t="shared" si="1"/>
        <v>-1.7688032988463931</v>
      </c>
      <c r="AV16" s="9">
        <f t="shared" si="1"/>
        <v>0</v>
      </c>
      <c r="AW16" s="9">
        <f t="shared" si="1"/>
        <v>0</v>
      </c>
      <c r="AX16" s="9">
        <f t="shared" si="1"/>
        <v>0</v>
      </c>
      <c r="AY16" s="9">
        <f t="shared" si="1"/>
        <v>0</v>
      </c>
      <c r="AZ16" s="9">
        <f t="shared" si="1"/>
        <v>0</v>
      </c>
      <c r="BA16" s="9">
        <f t="shared" si="1"/>
        <v>0</v>
      </c>
      <c r="BB16" s="9">
        <f t="shared" si="1"/>
        <v>0</v>
      </c>
      <c r="BC16" s="9">
        <f t="shared" si="1"/>
        <v>0</v>
      </c>
      <c r="BD16" s="9">
        <f t="shared" si="1"/>
        <v>0</v>
      </c>
      <c r="BE16" s="9">
        <f t="shared" si="1"/>
        <v>-0.16964582814523199</v>
      </c>
      <c r="BF16" s="9">
        <f t="shared" si="1"/>
        <v>0</v>
      </c>
      <c r="BG16" s="9">
        <f t="shared" si="1"/>
        <v>0</v>
      </c>
      <c r="BH16" s="9">
        <f t="shared" si="1"/>
        <v>-0.14598449290492299</v>
      </c>
      <c r="BI16" s="9">
        <f t="shared" si="1"/>
        <v>0</v>
      </c>
      <c r="BJ16" s="9">
        <f t="shared" si="1"/>
        <v>0</v>
      </c>
      <c r="BK16" s="9">
        <f t="shared" si="1"/>
        <v>0</v>
      </c>
      <c r="BL16" s="9">
        <f t="shared" si="1"/>
        <v>-0.31128909410425498</v>
      </c>
      <c r="BM16" s="9">
        <f t="shared" si="1"/>
        <v>0</v>
      </c>
      <c r="BN16" s="9">
        <f t="shared" si="1"/>
        <v>1.1414562881891139</v>
      </c>
      <c r="BO16" s="9">
        <f t="shared" si="1"/>
        <v>0</v>
      </c>
      <c r="BP16" s="9">
        <f t="shared" si="1"/>
        <v>0.8651595711151302</v>
      </c>
      <c r="BQ16" s="9">
        <f t="shared" si="1"/>
        <v>-0.22536286387060897</v>
      </c>
      <c r="BR16" s="9">
        <f t="shared" si="1"/>
        <v>0</v>
      </c>
      <c r="BS16" s="9">
        <f t="shared" si="1"/>
        <v>0</v>
      </c>
      <c r="BT16" s="9">
        <f t="shared" si="1"/>
        <v>1.0529680335565359</v>
      </c>
      <c r="BU16" s="9">
        <f t="shared" si="1"/>
        <v>15.081018357919959</v>
      </c>
    </row>
    <row r="17" spans="2:5" hidden="1" x14ac:dyDescent="0.25">
      <c r="B17" s="5" t="s">
        <v>14</v>
      </c>
      <c r="C17" s="13">
        <v>0</v>
      </c>
      <c r="D17" s="13">
        <v>0</v>
      </c>
      <c r="E17" t="b">
        <f t="shared" si="0"/>
        <v>1</v>
      </c>
    </row>
    <row r="18" spans="2:5" hidden="1" x14ac:dyDescent="0.25">
      <c r="B18" s="5" t="s">
        <v>15</v>
      </c>
      <c r="C18" s="13">
        <v>0</v>
      </c>
      <c r="D18" s="13">
        <v>0</v>
      </c>
      <c r="E18" t="b">
        <f t="shared" si="0"/>
        <v>1</v>
      </c>
    </row>
    <row r="19" spans="2:5" x14ac:dyDescent="0.25">
      <c r="B19" s="5" t="s">
        <v>16</v>
      </c>
      <c r="C19" s="13">
        <v>-0.518326123365206</v>
      </c>
      <c r="D19" s="13">
        <v>-0.39585532978301302</v>
      </c>
      <c r="E19" t="b">
        <f t="shared" si="0"/>
        <v>0</v>
      </c>
    </row>
    <row r="20" spans="2:5" x14ac:dyDescent="0.25">
      <c r="B20" s="5" t="s">
        <v>17</v>
      </c>
      <c r="C20" s="13">
        <v>-0.204162013466544</v>
      </c>
      <c r="D20" s="13">
        <v>-0.23276644499833701</v>
      </c>
      <c r="E20" t="b">
        <f t="shared" si="0"/>
        <v>0</v>
      </c>
    </row>
    <row r="21" spans="2:5" hidden="1" x14ac:dyDescent="0.25">
      <c r="B21" s="5" t="s">
        <v>18</v>
      </c>
      <c r="C21" s="13">
        <v>0</v>
      </c>
      <c r="D21" s="13">
        <v>0</v>
      </c>
      <c r="E21" t="b">
        <f t="shared" si="0"/>
        <v>1</v>
      </c>
    </row>
    <row r="22" spans="2:5" hidden="1" x14ac:dyDescent="0.25">
      <c r="B22" s="5" t="s">
        <v>19</v>
      </c>
      <c r="C22" s="13">
        <v>0</v>
      </c>
      <c r="D22" s="13">
        <v>0</v>
      </c>
      <c r="E22" t="b">
        <f t="shared" si="0"/>
        <v>1</v>
      </c>
    </row>
    <row r="23" spans="2:5" hidden="1" x14ac:dyDescent="0.25">
      <c r="B23" s="5" t="s">
        <v>20</v>
      </c>
      <c r="C23" s="13">
        <v>0</v>
      </c>
      <c r="D23" s="13">
        <v>0</v>
      </c>
      <c r="E23" t="b">
        <f t="shared" si="0"/>
        <v>1</v>
      </c>
    </row>
    <row r="24" spans="2:5" hidden="1" x14ac:dyDescent="0.25">
      <c r="B24" s="5" t="s">
        <v>21</v>
      </c>
      <c r="C24" s="13">
        <v>0</v>
      </c>
      <c r="D24" s="13">
        <v>0</v>
      </c>
      <c r="E24" t="b">
        <f t="shared" si="0"/>
        <v>1</v>
      </c>
    </row>
    <row r="25" spans="2:5" hidden="1" x14ac:dyDescent="0.25">
      <c r="B25" s="5" t="s">
        <v>22</v>
      </c>
      <c r="C25" s="13">
        <v>0</v>
      </c>
      <c r="D25" s="13">
        <v>0</v>
      </c>
      <c r="E25" t="b">
        <f t="shared" si="0"/>
        <v>1</v>
      </c>
    </row>
    <row r="26" spans="2:5" x14ac:dyDescent="0.25">
      <c r="B26" s="5" t="s">
        <v>23</v>
      </c>
      <c r="C26" s="13">
        <v>0</v>
      </c>
      <c r="D26" s="13">
        <v>-0.22180364597657301</v>
      </c>
      <c r="E26" t="b">
        <f t="shared" si="0"/>
        <v>0</v>
      </c>
    </row>
    <row r="27" spans="2:5" x14ac:dyDescent="0.25">
      <c r="B27" s="5" t="s">
        <v>24</v>
      </c>
      <c r="C27" s="13">
        <v>-1.5591431785888501</v>
      </c>
      <c r="D27" s="13">
        <v>-1.1584795217671799</v>
      </c>
      <c r="E27" t="b">
        <f t="shared" si="0"/>
        <v>0</v>
      </c>
    </row>
    <row r="28" spans="2:5" x14ac:dyDescent="0.25">
      <c r="B28" s="5" t="s">
        <v>25</v>
      </c>
      <c r="C28" s="13">
        <v>0.86697336289245097</v>
      </c>
      <c r="D28" s="13">
        <v>0.77569425067340103</v>
      </c>
      <c r="E28" t="b">
        <f t="shared" si="0"/>
        <v>0</v>
      </c>
    </row>
    <row r="29" spans="2:5" hidden="1" x14ac:dyDescent="0.25">
      <c r="B29" s="5" t="s">
        <v>26</v>
      </c>
      <c r="C29" s="13">
        <v>0</v>
      </c>
      <c r="D29" s="13">
        <v>0</v>
      </c>
      <c r="E29" t="b">
        <f t="shared" si="0"/>
        <v>1</v>
      </c>
    </row>
    <row r="30" spans="2:5" x14ac:dyDescent="0.25">
      <c r="B30" s="5" t="s">
        <v>27</v>
      </c>
      <c r="C30" s="13">
        <v>-1.3119194151226801</v>
      </c>
      <c r="D30" s="13">
        <v>-1.2795013327571101</v>
      </c>
      <c r="E30" t="b">
        <f t="shared" si="0"/>
        <v>0</v>
      </c>
    </row>
    <row r="31" spans="2:5" hidden="1" x14ac:dyDescent="0.25">
      <c r="B31" s="5" t="s">
        <v>28</v>
      </c>
      <c r="C31" s="13">
        <v>0</v>
      </c>
      <c r="D31" s="13">
        <v>0</v>
      </c>
      <c r="E31" t="b">
        <f t="shared" si="0"/>
        <v>1</v>
      </c>
    </row>
    <row r="32" spans="2:5" hidden="1" x14ac:dyDescent="0.25">
      <c r="B32" s="5" t="s">
        <v>29</v>
      </c>
      <c r="C32" s="13">
        <v>0</v>
      </c>
      <c r="D32" s="13">
        <v>0</v>
      </c>
      <c r="E32" t="b">
        <f t="shared" si="0"/>
        <v>1</v>
      </c>
    </row>
    <row r="33" spans="2:6" x14ac:dyDescent="0.25">
      <c r="B33" s="5" t="s">
        <v>30</v>
      </c>
      <c r="C33" s="13">
        <v>0</v>
      </c>
      <c r="D33" s="13">
        <v>6.5303321944147397E-2</v>
      </c>
      <c r="E33" t="b">
        <f t="shared" si="0"/>
        <v>0</v>
      </c>
    </row>
    <row r="34" spans="2:6" hidden="1" x14ac:dyDescent="0.25">
      <c r="B34" s="5" t="s">
        <v>31</v>
      </c>
      <c r="C34" s="13">
        <v>0</v>
      </c>
      <c r="D34" s="13">
        <v>0</v>
      </c>
      <c r="E34" t="b">
        <f t="shared" si="0"/>
        <v>1</v>
      </c>
    </row>
    <row r="35" spans="2:6" hidden="1" x14ac:dyDescent="0.25">
      <c r="B35" s="5" t="s">
        <v>32</v>
      </c>
      <c r="C35" s="13">
        <v>0</v>
      </c>
      <c r="D35" s="13">
        <v>0</v>
      </c>
      <c r="E35" t="b">
        <f t="shared" si="0"/>
        <v>1</v>
      </c>
    </row>
    <row r="36" spans="2:6" hidden="1" x14ac:dyDescent="0.25">
      <c r="B36" s="5" t="s">
        <v>33</v>
      </c>
      <c r="C36" s="13">
        <v>0</v>
      </c>
      <c r="D36" s="13">
        <v>0</v>
      </c>
      <c r="E36" t="b">
        <f t="shared" si="0"/>
        <v>1</v>
      </c>
    </row>
    <row r="37" spans="2:6" x14ac:dyDescent="0.25">
      <c r="B37" s="5" t="s">
        <v>34</v>
      </c>
      <c r="C37" s="13">
        <v>0</v>
      </c>
      <c r="D37" s="13">
        <v>-0.108472158385669</v>
      </c>
      <c r="E37" t="b">
        <f t="shared" si="0"/>
        <v>0</v>
      </c>
    </row>
    <row r="38" spans="2:6" x14ac:dyDescent="0.25">
      <c r="B38" s="5" t="s">
        <v>35</v>
      </c>
      <c r="C38" s="13">
        <v>0.40816530330588202</v>
      </c>
      <c r="D38" s="13">
        <v>0.25740072285528398</v>
      </c>
      <c r="E38" t="b">
        <f t="shared" si="0"/>
        <v>0</v>
      </c>
    </row>
    <row r="39" spans="2:6" x14ac:dyDescent="0.25">
      <c r="B39" s="5" t="s">
        <v>36</v>
      </c>
      <c r="C39" s="13">
        <v>0</v>
      </c>
      <c r="D39" s="13">
        <v>1.27773117076713E-2</v>
      </c>
      <c r="E39" t="b">
        <f t="shared" si="0"/>
        <v>0</v>
      </c>
    </row>
    <row r="40" spans="2:6" ht="18.75" hidden="1" x14ac:dyDescent="0.3">
      <c r="B40" s="5" t="s">
        <v>37</v>
      </c>
      <c r="C40" s="13">
        <v>0</v>
      </c>
      <c r="D40" s="13">
        <v>0</v>
      </c>
      <c r="E40" t="b">
        <f t="shared" si="0"/>
        <v>1</v>
      </c>
      <c r="F40" s="8"/>
    </row>
    <row r="41" spans="2:6" ht="18.75" hidden="1" x14ac:dyDescent="0.3">
      <c r="B41" s="5" t="s">
        <v>38</v>
      </c>
      <c r="C41" s="13">
        <v>0</v>
      </c>
      <c r="D41" s="13">
        <v>0</v>
      </c>
      <c r="E41" t="b">
        <f t="shared" si="0"/>
        <v>1</v>
      </c>
      <c r="F41" s="8"/>
    </row>
    <row r="42" spans="2:6" ht="18.75" hidden="1" x14ac:dyDescent="0.3">
      <c r="B42" s="5" t="s">
        <v>39</v>
      </c>
      <c r="C42" s="13">
        <v>0</v>
      </c>
      <c r="D42" s="13">
        <v>0</v>
      </c>
      <c r="E42" t="b">
        <f t="shared" si="0"/>
        <v>1</v>
      </c>
      <c r="F42" s="8"/>
    </row>
    <row r="43" spans="2:6" ht="18.75" x14ac:dyDescent="0.3">
      <c r="B43" s="5" t="s">
        <v>40</v>
      </c>
      <c r="C43" s="13">
        <v>0</v>
      </c>
      <c r="D43" s="13">
        <v>-0.18839793215265799</v>
      </c>
      <c r="E43" t="b">
        <f t="shared" si="0"/>
        <v>0</v>
      </c>
      <c r="F43" s="8"/>
    </row>
    <row r="44" spans="2:6" ht="18.75" hidden="1" x14ac:dyDescent="0.3">
      <c r="B44" s="5" t="s">
        <v>41</v>
      </c>
      <c r="C44" s="13">
        <v>0</v>
      </c>
      <c r="D44" s="13">
        <v>0</v>
      </c>
      <c r="E44" t="b">
        <f t="shared" si="0"/>
        <v>1</v>
      </c>
      <c r="F44" s="8"/>
    </row>
    <row r="45" spans="2:6" ht="18.75" hidden="1" x14ac:dyDescent="0.3">
      <c r="B45" s="5" t="s">
        <v>42</v>
      </c>
      <c r="C45" s="13">
        <v>0</v>
      </c>
      <c r="D45" s="13">
        <v>0</v>
      </c>
      <c r="E45" t="b">
        <f t="shared" si="0"/>
        <v>1</v>
      </c>
      <c r="F45" s="8"/>
    </row>
    <row r="46" spans="2:6" ht="18.75" hidden="1" x14ac:dyDescent="0.3">
      <c r="B46" s="5" t="s">
        <v>43</v>
      </c>
      <c r="C46" s="13">
        <v>0</v>
      </c>
      <c r="D46" s="13">
        <v>0</v>
      </c>
      <c r="E46" t="b">
        <f t="shared" si="0"/>
        <v>1</v>
      </c>
      <c r="F46" s="8"/>
    </row>
    <row r="47" spans="2:6" ht="18.75" hidden="1" x14ac:dyDescent="0.3">
      <c r="B47" s="5" t="s">
        <v>44</v>
      </c>
      <c r="C47" s="13">
        <v>0</v>
      </c>
      <c r="D47" s="13">
        <v>0</v>
      </c>
      <c r="E47" t="b">
        <f t="shared" si="0"/>
        <v>1</v>
      </c>
      <c r="F47" s="8"/>
    </row>
    <row r="48" spans="2:6" ht="18.75" x14ac:dyDescent="0.3">
      <c r="B48" s="5" t="s">
        <v>45</v>
      </c>
      <c r="C48" s="13">
        <v>0</v>
      </c>
      <c r="D48" s="13">
        <v>1.8689101855814301E-2</v>
      </c>
      <c r="E48" t="b">
        <f t="shared" si="0"/>
        <v>0</v>
      </c>
      <c r="F48" s="8"/>
    </row>
    <row r="49" spans="2:6" ht="18.75" x14ac:dyDescent="0.3">
      <c r="B49" s="5" t="s">
        <v>46</v>
      </c>
      <c r="C49" s="13">
        <v>1.7814748910764699</v>
      </c>
      <c r="D49" s="13">
        <v>1.6319635116911499</v>
      </c>
      <c r="E49" t="b">
        <f t="shared" si="0"/>
        <v>0</v>
      </c>
      <c r="F49" s="8"/>
    </row>
    <row r="50" spans="2:6" ht="18.75" x14ac:dyDescent="0.3">
      <c r="B50" s="5" t="s">
        <v>47</v>
      </c>
      <c r="C50" s="13">
        <v>0</v>
      </c>
      <c r="D50" s="13">
        <v>-1.8389654814870499E-2</v>
      </c>
      <c r="E50" t="b">
        <f t="shared" si="0"/>
        <v>0</v>
      </c>
      <c r="F50" s="8"/>
    </row>
    <row r="51" spans="2:6" x14ac:dyDescent="0.25">
      <c r="B51" s="5" t="s">
        <v>48</v>
      </c>
      <c r="C51" s="13">
        <v>0.88738292401255103</v>
      </c>
      <c r="D51" s="13">
        <v>0.69384574192849002</v>
      </c>
      <c r="E51" t="b">
        <f t="shared" si="0"/>
        <v>0</v>
      </c>
    </row>
    <row r="52" spans="2:6" x14ac:dyDescent="0.25">
      <c r="B52" s="5" t="s">
        <v>49</v>
      </c>
      <c r="C52" s="13">
        <v>-0.28229212764206002</v>
      </c>
      <c r="D52" s="13">
        <v>-8.4735140216739294E-2</v>
      </c>
      <c r="E52" t="b">
        <f t="shared" si="0"/>
        <v>0</v>
      </c>
    </row>
    <row r="53" spans="2:6" hidden="1" x14ac:dyDescent="0.25">
      <c r="B53" s="5" t="s">
        <v>50</v>
      </c>
      <c r="C53" s="13">
        <v>0</v>
      </c>
      <c r="D53" s="13">
        <v>0</v>
      </c>
      <c r="E53" t="b">
        <f t="shared" si="0"/>
        <v>1</v>
      </c>
    </row>
    <row r="54" spans="2:6" hidden="1" x14ac:dyDescent="0.25">
      <c r="B54" s="5" t="s">
        <v>51</v>
      </c>
      <c r="C54" s="13">
        <v>0</v>
      </c>
      <c r="D54" s="13">
        <v>0</v>
      </c>
      <c r="E54" t="b">
        <f t="shared" si="0"/>
        <v>1</v>
      </c>
    </row>
    <row r="55" spans="2:6" ht="18.75" x14ac:dyDescent="0.3">
      <c r="C55" s="9"/>
      <c r="D55" s="14"/>
    </row>
  </sheetData>
  <autoFilter ref="C3:E54" xr:uid="{9474F131-CF91-F343-A087-C43C195A94B6}">
    <filterColumn colId="2">
      <filters>
        <filter val="FALSE"/>
      </filters>
    </filterColumn>
  </autoFilter>
  <mergeCells count="1">
    <mergeCell ref="C2:D2"/>
  </mergeCells>
  <phoneticPr fontId="20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3:C20"/>
  <sheetViews>
    <sheetView showGridLines="0" workbookViewId="0"/>
  </sheetViews>
  <sheetFormatPr defaultColWidth="8.85546875" defaultRowHeight="15" x14ac:dyDescent="0.25"/>
  <cols>
    <col min="3" max="3" width="12.42578125" bestFit="1" customWidth="1"/>
  </cols>
  <sheetData>
    <row r="3" spans="2:3" x14ac:dyDescent="0.25">
      <c r="B3" s="3" t="s">
        <v>0</v>
      </c>
      <c r="C3" s="4" t="s">
        <v>54</v>
      </c>
    </row>
    <row r="4" spans="2:3" x14ac:dyDescent="0.25">
      <c r="B4" s="5" cm="1">
        <f t="array" ref="B4:B13">_xlfn.UNIQUE('Test data (MIQP)'!B5:B104)</f>
        <v>5</v>
      </c>
      <c r="C4" s="6">
        <f>SUMIFS('Test data (MIQP)'!$BC:$BC,'Test data (MIQP)'!$B:$B,'MIQP|Avg MSE vs k'!B4)</f>
        <v>182.83648224089097</v>
      </c>
    </row>
    <row r="5" spans="2:3" x14ac:dyDescent="0.25">
      <c r="B5" s="5">
        <v>10</v>
      </c>
      <c r="C5" s="6">
        <f>SUMIFS('Test data (MIQP)'!$BC:$BC,'Test data (MIQP)'!$B:$B,'MIQP|Avg MSE vs k'!B5)</f>
        <v>150.81018357919959</v>
      </c>
    </row>
    <row r="6" spans="2:3" x14ac:dyDescent="0.25">
      <c r="B6" s="5">
        <v>15</v>
      </c>
      <c r="C6" s="6">
        <f>SUMIFS('Test data (MIQP)'!$BC:$BC,'Test data (MIQP)'!$B:$B,'MIQP|Avg MSE vs k'!B6)</f>
        <v>366.55435381367244</v>
      </c>
    </row>
    <row r="7" spans="2:3" x14ac:dyDescent="0.25">
      <c r="B7" s="5">
        <v>20</v>
      </c>
      <c r="C7" s="6">
        <f>SUMIFS('Test data (MIQP)'!$BC:$BC,'Test data (MIQP)'!$B:$B,'MIQP|Avg MSE vs k'!B7)</f>
        <v>413.3938231658102</v>
      </c>
    </row>
    <row r="8" spans="2:3" x14ac:dyDescent="0.25">
      <c r="B8" s="5">
        <v>25</v>
      </c>
      <c r="C8" s="6">
        <f>SUMIFS('Test data (MIQP)'!$BC:$BC,'Test data (MIQP)'!$B:$B,'MIQP|Avg MSE vs k'!B8)</f>
        <v>648.67093815708529</v>
      </c>
    </row>
    <row r="9" spans="2:3" x14ac:dyDescent="0.25">
      <c r="B9" s="5">
        <v>30</v>
      </c>
      <c r="C9" s="6">
        <f>SUMIFS('Test data (MIQP)'!$BC:$BC,'Test data (MIQP)'!$B:$B,'MIQP|Avg MSE vs k'!B9)</f>
        <v>648.5318833154671</v>
      </c>
    </row>
    <row r="10" spans="2:3" x14ac:dyDescent="0.25">
      <c r="B10" s="5">
        <v>35</v>
      </c>
      <c r="C10" s="6">
        <f>SUMIFS('Test data (MIQP)'!$BC:$BC,'Test data (MIQP)'!$B:$B,'MIQP|Avg MSE vs k'!B10)</f>
        <v>941.99772298047287</v>
      </c>
    </row>
    <row r="11" spans="2:3" x14ac:dyDescent="0.25">
      <c r="B11" s="5">
        <v>40</v>
      </c>
      <c r="C11" s="6">
        <f>SUMIFS('Test data (MIQP)'!$BC:$BC,'Test data (MIQP)'!$B:$B,'MIQP|Avg MSE vs k'!B11)</f>
        <v>1414.7604487843739</v>
      </c>
    </row>
    <row r="12" spans="2:3" x14ac:dyDescent="0.25">
      <c r="B12" s="5">
        <v>45</v>
      </c>
      <c r="C12" s="6">
        <f>SUMIFS('Test data (MIQP)'!$BC:$BC,'Test data (MIQP)'!$B:$B,'MIQP|Avg MSE vs k'!B12)</f>
        <v>1754.8926091835322</v>
      </c>
    </row>
    <row r="13" spans="2:3" x14ac:dyDescent="0.25">
      <c r="B13" s="5">
        <v>50</v>
      </c>
      <c r="C13" s="6">
        <f>SUMIFS('Test data (MIQP)'!$BC:$BC,'Test data (MIQP)'!$B:$B,'MIQP|Avg MSE vs k'!B13)</f>
        <v>623.24115028191591</v>
      </c>
    </row>
    <row r="20" spans="2:2" ht="15.75" x14ac:dyDescent="0.25">
      <c r="B20" s="7" t="s">
        <v>55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Test data (MIQP)</vt:lpstr>
      <vt:lpstr>Error Comparison</vt:lpstr>
      <vt:lpstr>Prediction Comparison</vt:lpstr>
      <vt:lpstr>Beta Value Comparison</vt:lpstr>
      <vt:lpstr>MIQP|Avg MSE vs 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Shreyansh Agrawal</cp:lastModifiedBy>
  <dcterms:created xsi:type="dcterms:W3CDTF">2022-11-24T00:36:11Z</dcterms:created>
  <dcterms:modified xsi:type="dcterms:W3CDTF">2022-11-28T22:08:34Z</dcterms:modified>
</cp:coreProperties>
</file>